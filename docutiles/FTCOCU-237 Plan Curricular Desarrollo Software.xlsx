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esdenet-my.sharepoint.com/personal/ejimenez_cesde_edu_co/Documents/Diseño Curricular CESDE/Sede Medellín/Escuela de Nuevas Tecnologias/2025-2/TL Asistente en Desarrollo de Software/Desarrollo Software (Plan Nuevo)/"/>
    </mc:Choice>
  </mc:AlternateContent>
  <xr:revisionPtr revIDLastSave="61" documentId="8_{70416CAD-582B-4C9B-AF69-F28E1109EFB8}" xr6:coauthVersionLast="47" xr6:coauthVersionMax="47" xr10:uidLastSave="{D12E1797-1AE3-48FC-93D5-74FBF9A35D0E}"/>
  <bookViews>
    <workbookView xWindow="-120" yWindow="-120" windowWidth="20730" windowHeight="11040" tabRatio="1000" activeTab="1" xr2:uid="{00000000-000D-0000-FFFF-FFFF00000000}"/>
  </bookViews>
  <sheets>
    <sheet name="Control de Cambios" sheetId="45" r:id="rId1"/>
    <sheet name="Plan Curricular" sheetId="4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44" l="1"/>
  <c r="M12" i="44"/>
  <c r="M14" i="44"/>
  <c r="M16" i="44"/>
  <c r="M19" i="44"/>
  <c r="M21" i="44"/>
  <c r="M23" i="44"/>
  <c r="M25" i="44"/>
  <c r="M32" i="44"/>
  <c r="M30" i="44"/>
  <c r="M28" i="44"/>
  <c r="L19" i="44"/>
  <c r="L11" i="44"/>
  <c r="L12" i="44"/>
  <c r="L13" i="44"/>
  <c r="L14" i="44"/>
  <c r="L15" i="44"/>
  <c r="L16" i="44"/>
  <c r="L17" i="44"/>
  <c r="L10" i="44"/>
  <c r="L29" i="44"/>
  <c r="L30" i="44"/>
  <c r="L31" i="44"/>
  <c r="L32" i="44"/>
  <c r="L33" i="44"/>
  <c r="L34" i="44"/>
  <c r="L24" i="44"/>
  <c r="L25" i="44"/>
  <c r="L26" i="44"/>
  <c r="J35" i="44" l="1"/>
  <c r="K35" i="44"/>
  <c r="I35" i="44"/>
  <c r="L20" i="44"/>
  <c r="L21" i="44"/>
  <c r="L22" i="44"/>
  <c r="L23" i="44"/>
  <c r="L28" i="44"/>
  <c r="M35" i="44" l="1"/>
  <c r="L35" i="44"/>
  <c r="F40" i="44"/>
  <c r="F42" i="44"/>
  <c r="H35" i="44"/>
  <c r="F39" i="44" s="1"/>
  <c r="F38" i="44" l="1"/>
  <c r="F41" i="44"/>
  <c r="F43" i="44" s="1"/>
</calcChain>
</file>

<file path=xl/sharedStrings.xml><?xml version="1.0" encoding="utf-8"?>
<sst xmlns="http://schemas.openxmlformats.org/spreadsheetml/2006/main" count="125" uniqueCount="90">
  <si>
    <t>PLAN CURRICULAR
TÉCNICO LABORAL</t>
  </si>
  <si>
    <t>Código: FTCOCU-237</t>
  </si>
  <si>
    <t>Versión: 01</t>
  </si>
  <si>
    <t xml:space="preserve"> TÉCNICO LABORAL COMO ASISTENTE EN DESARROLLO DE SOFTWARE</t>
  </si>
  <si>
    <t>ESCUELA DE NUEVAS TECNOLOGÍAS</t>
  </si>
  <si>
    <t>NIVEL</t>
  </si>
  <si>
    <t>MÓDULO</t>
  </si>
  <si>
    <t>SUBMÓDULO</t>
  </si>
  <si>
    <t>UNIDAD DE APRENDIZAJE</t>
  </si>
  <si>
    <t>NORMA</t>
  </si>
  <si>
    <t>ELEMENTO</t>
  </si>
  <si>
    <t>HORAS TEÓRICAS</t>
  </si>
  <si>
    <t>HORAS PRÁCTICAS</t>
  </si>
  <si>
    <t>TRABAJO INDEPENDIENTE</t>
  </si>
  <si>
    <t>EVALUACIÓN</t>
  </si>
  <si>
    <t>TOTAL</t>
  </si>
  <si>
    <t>CRÉDITOS ACADÉMICOS</t>
  </si>
  <si>
    <t>l</t>
  </si>
  <si>
    <t>MÓDULO DE PROGRAMACIÓN</t>
  </si>
  <si>
    <t>Lógica de Programación</t>
  </si>
  <si>
    <r>
      <rPr>
        <b/>
        <sz val="8"/>
        <rFont val="Calibri"/>
        <family val="2"/>
        <scheme val="minor"/>
      </rPr>
      <t xml:space="preserve">Unidad I:  </t>
    </r>
    <r>
      <rPr>
        <sz val="8"/>
        <rFont val="Calibri"/>
        <family val="2"/>
        <scheme val="minor"/>
      </rPr>
      <t xml:space="preserve">
Elementos básicos de la lógica</t>
    </r>
  </si>
  <si>
    <r>
      <rPr>
        <b/>
        <sz val="8"/>
        <rFont val="Calibri"/>
        <family val="2"/>
        <scheme val="minor"/>
      </rPr>
      <t xml:space="preserve">Unidad II:  </t>
    </r>
    <r>
      <rPr>
        <sz val="8"/>
        <rFont val="Calibri"/>
        <family val="2"/>
        <scheme val="minor"/>
      </rPr>
      <t xml:space="preserve">
Estructuras lógicas</t>
    </r>
  </si>
  <si>
    <t>MÓDULO WEB</t>
  </si>
  <si>
    <t>Introducción a la Programación</t>
  </si>
  <si>
    <r>
      <rPr>
        <b/>
        <sz val="8"/>
        <rFont val="Calibri"/>
        <family val="2"/>
        <scheme val="minor"/>
      </rPr>
      <t>Unidad I:</t>
    </r>
    <r>
      <rPr>
        <sz val="8"/>
        <rFont val="Calibri"/>
        <family val="2"/>
        <scheme val="minor"/>
      </rPr>
      <t xml:space="preserve">  Maquetación de páginas Web </t>
    </r>
  </si>
  <si>
    <r>
      <rPr>
        <b/>
        <sz val="8"/>
        <color theme="1"/>
        <rFont val="Calibri"/>
        <family val="2"/>
        <scheme val="minor"/>
      </rPr>
      <t xml:space="preserve">Unidad II: </t>
    </r>
    <r>
      <rPr>
        <sz val="8"/>
        <color theme="1"/>
        <rFont val="Calibri"/>
        <family val="2"/>
        <scheme val="minor"/>
      </rPr>
      <t xml:space="preserve">
ExPeriencia de usuarios (UX/UI)</t>
    </r>
  </si>
  <si>
    <t>Gestión de Bases de Datos</t>
  </si>
  <si>
    <r>
      <rPr>
        <b/>
        <sz val="8"/>
        <color rgb="FF000000"/>
        <rFont val="Calibri"/>
        <family val="2"/>
        <scheme val="minor"/>
      </rPr>
      <t>Unidad I:</t>
    </r>
    <r>
      <rPr>
        <sz val="8"/>
        <color rgb="FF000000"/>
        <rFont val="Calibri"/>
        <family val="2"/>
        <scheme val="minor"/>
      </rPr>
      <t xml:space="preserve"> Diseño de bases de datos</t>
    </r>
  </si>
  <si>
    <r>
      <rPr>
        <b/>
        <sz val="8"/>
        <color theme="1"/>
        <rFont val="Calibri"/>
        <family val="2"/>
        <scheme val="minor"/>
      </rPr>
      <t xml:space="preserve">Unidad II:  </t>
    </r>
    <r>
      <rPr>
        <sz val="8"/>
        <color theme="1"/>
        <rFont val="Calibri"/>
        <family val="2"/>
        <scheme val="minor"/>
      </rPr>
      <t xml:space="preserve">
Creación y Administración de Bases de Datos</t>
    </r>
  </si>
  <si>
    <t>MÓDULO COMÚN</t>
  </si>
  <si>
    <t>Cátedra Ser Emprendedor</t>
  </si>
  <si>
    <r>
      <rPr>
        <b/>
        <sz val="8"/>
        <color theme="1"/>
        <rFont val="Calibri"/>
        <family val="2"/>
        <scheme val="minor"/>
      </rPr>
      <t>Unidad I:</t>
    </r>
    <r>
      <rPr>
        <sz val="8"/>
        <color theme="1"/>
        <rFont val="Calibri"/>
        <family val="2"/>
        <scheme val="minor"/>
      </rPr>
      <t xml:space="preserve">
Oportunidades y Posibilidades para Ser Emprendedor</t>
    </r>
  </si>
  <si>
    <r>
      <rPr>
        <b/>
        <sz val="8"/>
        <color theme="1"/>
        <rFont val="Calibri"/>
        <family val="2"/>
        <scheme val="minor"/>
      </rPr>
      <t>Unidad II:</t>
    </r>
    <r>
      <rPr>
        <sz val="8"/>
        <color theme="1"/>
        <rFont val="Calibri"/>
        <family val="2"/>
        <scheme val="minor"/>
      </rPr>
      <t xml:space="preserve">
Caracterización del Entorno</t>
    </r>
  </si>
  <si>
    <t>ll</t>
  </si>
  <si>
    <t>Metodologías Ágiles Para la programación</t>
  </si>
  <si>
    <r>
      <rPr>
        <b/>
        <sz val="8"/>
        <color theme="1"/>
        <rFont val="Calibri"/>
        <family val="2"/>
        <scheme val="minor"/>
      </rPr>
      <t xml:space="preserve">Unidad I:  </t>
    </r>
    <r>
      <rPr>
        <sz val="8"/>
        <color theme="1"/>
        <rFont val="Calibri"/>
        <family val="2"/>
        <scheme val="minor"/>
      </rPr>
      <t xml:space="preserve">
Estructuración de información preliminar</t>
    </r>
  </si>
  <si>
    <t>1</t>
  </si>
  <si>
    <r>
      <rPr>
        <b/>
        <sz val="8"/>
        <color theme="1"/>
        <rFont val="Calibri"/>
        <family val="2"/>
        <scheme val="minor"/>
      </rPr>
      <t xml:space="preserve">Unidad II:  </t>
    </r>
    <r>
      <rPr>
        <sz val="8"/>
        <color theme="1"/>
        <rFont val="Calibri"/>
        <family val="2"/>
        <scheme val="minor"/>
      </rPr>
      <t xml:space="preserve">
Consolidación de Información</t>
    </r>
  </si>
  <si>
    <t>2</t>
  </si>
  <si>
    <r>
      <rPr>
        <b/>
        <sz val="8"/>
        <color theme="1"/>
        <rFont val="Calibri"/>
        <family val="2"/>
        <scheme val="minor"/>
      </rPr>
      <t xml:space="preserve">Unidad lll:  </t>
    </r>
    <r>
      <rPr>
        <sz val="8"/>
        <color theme="1"/>
        <rFont val="Calibri"/>
        <family val="2"/>
        <scheme val="minor"/>
      </rPr>
      <t xml:space="preserve">
Especificación casos de uso</t>
    </r>
  </si>
  <si>
    <t>3</t>
  </si>
  <si>
    <r>
      <rPr>
        <b/>
        <sz val="8"/>
        <color theme="1"/>
        <rFont val="Calibri"/>
        <family val="2"/>
        <scheme val="minor"/>
      </rPr>
      <t xml:space="preserve">Unidad lV: </t>
    </r>
    <r>
      <rPr>
        <sz val="8"/>
        <color theme="1"/>
        <rFont val="Calibri"/>
        <family val="2"/>
        <scheme val="minor"/>
      </rPr>
      <t xml:space="preserve">
Educir requisitos del sistema</t>
    </r>
  </si>
  <si>
    <t>4</t>
  </si>
  <si>
    <t>MÓDULO MOVILIDAD</t>
  </si>
  <si>
    <t>Backend l (Lenguaje)</t>
  </si>
  <si>
    <r>
      <rPr>
        <b/>
        <sz val="8"/>
        <color theme="1"/>
        <rFont val="Calibri"/>
        <family val="2"/>
        <scheme val="minor"/>
      </rPr>
      <t xml:space="preserve">Unidad I: </t>
    </r>
    <r>
      <rPr>
        <sz val="8"/>
        <color theme="1"/>
        <rFont val="Calibri"/>
        <family val="2"/>
        <scheme val="minor"/>
      </rPr>
      <t xml:space="preserve"> 
Fundamentos de POO </t>
    </r>
  </si>
  <si>
    <r>
      <rPr>
        <b/>
        <sz val="8"/>
        <color theme="1"/>
        <rFont val="Calibri"/>
        <family val="2"/>
        <scheme val="minor"/>
      </rPr>
      <t xml:space="preserve">Unidad II:  </t>
    </r>
    <r>
      <rPr>
        <sz val="8"/>
        <color theme="1"/>
        <rFont val="Calibri"/>
        <family val="2"/>
        <scheme val="minor"/>
      </rPr>
      <t xml:space="preserve">
Aplicación de POO</t>
    </r>
  </si>
  <si>
    <t>Frontend l (Lenguaje)</t>
  </si>
  <si>
    <r>
      <rPr>
        <b/>
        <sz val="8"/>
        <color theme="1"/>
        <rFont val="Calibri"/>
        <family val="2"/>
        <scheme val="minor"/>
      </rPr>
      <t xml:space="preserve">Unidad I </t>
    </r>
    <r>
      <rPr>
        <sz val="8"/>
        <color theme="1"/>
        <rFont val="Calibri"/>
        <family val="2"/>
        <scheme val="minor"/>
      </rPr>
      <t xml:space="preserve">
Generalidades de Javascript</t>
    </r>
  </si>
  <si>
    <r>
      <rPr>
        <b/>
        <sz val="8"/>
        <color theme="1"/>
        <rFont val="Calibri"/>
        <family val="2"/>
        <scheme val="minor"/>
      </rPr>
      <t xml:space="preserve">Unidad II:  </t>
    </r>
    <r>
      <rPr>
        <sz val="8"/>
        <color theme="1"/>
        <rFont val="Calibri"/>
        <family val="2"/>
        <scheme val="minor"/>
      </rPr>
      <t xml:space="preserve">
DOM de Javascript </t>
    </r>
  </si>
  <si>
    <t>lll</t>
  </si>
  <si>
    <t>Nuevas Tecnologías de Programación</t>
  </si>
  <si>
    <r>
      <rPr>
        <b/>
        <sz val="8"/>
        <color theme="1"/>
        <rFont val="Calibri"/>
        <family val="2"/>
        <scheme val="minor"/>
      </rPr>
      <t xml:space="preserve">Unidad I: </t>
    </r>
    <r>
      <rPr>
        <sz val="8"/>
        <color theme="1"/>
        <rFont val="Calibri"/>
        <family val="2"/>
        <scheme val="minor"/>
      </rPr>
      <t xml:space="preserve"> 
Pyton e IAs</t>
    </r>
  </si>
  <si>
    <r>
      <rPr>
        <b/>
        <sz val="8"/>
        <color theme="1"/>
        <rFont val="Calibri"/>
        <family val="2"/>
        <scheme val="minor"/>
      </rPr>
      <t xml:space="preserve">Unidad II: </t>
    </r>
    <r>
      <rPr>
        <sz val="8"/>
        <color theme="1"/>
        <rFont val="Calibri"/>
        <family val="2"/>
        <scheme val="minor"/>
      </rPr>
      <t xml:space="preserve">
Analisis de datos </t>
    </r>
  </si>
  <si>
    <t>Backend II (Framework)</t>
  </si>
  <si>
    <r>
      <rPr>
        <b/>
        <sz val="8"/>
        <color theme="1"/>
        <rFont val="Calibri"/>
        <family val="2"/>
        <scheme val="minor"/>
      </rPr>
      <t xml:space="preserve">Unidad I:  </t>
    </r>
    <r>
      <rPr>
        <sz val="8"/>
        <color theme="1"/>
        <rFont val="Calibri"/>
        <family val="2"/>
        <scheme val="minor"/>
      </rPr>
      <t xml:space="preserve">
Generalidades del Framework </t>
    </r>
  </si>
  <si>
    <r>
      <rPr>
        <b/>
        <sz val="8"/>
        <color theme="1"/>
        <rFont val="Calibri"/>
        <family val="2"/>
        <scheme val="minor"/>
      </rPr>
      <t xml:space="preserve">Unidad II: </t>
    </r>
    <r>
      <rPr>
        <sz val="8"/>
        <color theme="1"/>
        <rFont val="Calibri"/>
        <family val="2"/>
        <scheme val="minor"/>
      </rPr>
      <t xml:space="preserve"> 
Implementación del Framework </t>
    </r>
  </si>
  <si>
    <t>Frontend ll (Framework)</t>
  </si>
  <si>
    <r>
      <rPr>
        <b/>
        <sz val="8"/>
        <color theme="1"/>
        <rFont val="Calibri"/>
        <family val="2"/>
        <scheme val="minor"/>
      </rPr>
      <t>Unidad I:</t>
    </r>
    <r>
      <rPr>
        <sz val="8"/>
        <color theme="1"/>
        <rFont val="Calibri"/>
        <family val="2"/>
        <scheme val="minor"/>
      </rPr>
      <t xml:space="preserve">
Estructuración de Contenidos.</t>
    </r>
  </si>
  <si>
    <r>
      <rPr>
        <b/>
        <sz val="8"/>
        <color theme="1"/>
        <rFont val="Calibri"/>
        <family val="2"/>
        <scheme val="minor"/>
      </rPr>
      <t>Unidad II:</t>
    </r>
    <r>
      <rPr>
        <sz val="8"/>
        <color theme="1"/>
        <rFont val="Calibri"/>
        <family val="2"/>
        <scheme val="minor"/>
      </rPr>
      <t xml:space="preserve">
Maquetación de sitios web</t>
    </r>
  </si>
  <si>
    <r>
      <rPr>
        <b/>
        <sz val="8"/>
        <color theme="1"/>
        <rFont val="Calibri"/>
        <family val="2"/>
        <scheme val="minor"/>
      </rPr>
      <t>Unidad lII</t>
    </r>
    <r>
      <rPr>
        <sz val="8"/>
        <color theme="1"/>
        <rFont val="Calibri"/>
        <family val="2"/>
        <scheme val="minor"/>
      </rPr>
      <t>: Montaje de plataforma</t>
    </r>
  </si>
  <si>
    <t>TOTAL PROGRAMA</t>
  </si>
  <si>
    <t>Resumen del Programa</t>
  </si>
  <si>
    <t>Formación Teórica</t>
  </si>
  <si>
    <t>Trabajo Independiente</t>
  </si>
  <si>
    <t>Evaluación</t>
  </si>
  <si>
    <t>Total de la Formación Teórica</t>
  </si>
  <si>
    <t>Formación Práctica</t>
  </si>
  <si>
    <t>Total Horas programa</t>
  </si>
  <si>
    <t>Elaboró</t>
  </si>
  <si>
    <t>Revisó</t>
  </si>
  <si>
    <t>Aprobó</t>
  </si>
  <si>
    <t>Nombre</t>
  </si>
  <si>
    <t>Cargo</t>
  </si>
  <si>
    <t>Firma</t>
  </si>
  <si>
    <t>CONTROL DE CAMBIO DEL DOCUMENTO</t>
  </si>
  <si>
    <t>N°</t>
  </si>
  <si>
    <t>VERSION INICIAL</t>
  </si>
  <si>
    <t>IDENTIFICACION DEL CAMBIO</t>
  </si>
  <si>
    <t>VERSION FINAL</t>
  </si>
  <si>
    <t>FECHA</t>
  </si>
  <si>
    <t>00</t>
  </si>
  <si>
    <t>Creación y asignación de nueva codificación.</t>
  </si>
  <si>
    <t>01</t>
  </si>
  <si>
    <t>Edwin Jimenez Rave</t>
  </si>
  <si>
    <t>Rober De Jesús Restrepo Betancur</t>
  </si>
  <si>
    <t>Curador de Contenidos</t>
  </si>
  <si>
    <t xml:space="preserve">Director Académico </t>
  </si>
  <si>
    <t>EJR</t>
  </si>
  <si>
    <t>RRB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</si>
</sst>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262626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6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69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" fontId="7" fillId="3" borderId="5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justify" vertical="center" wrapText="1"/>
    </xf>
    <xf numFmtId="49" fontId="13" fillId="0" borderId="1" xfId="0" applyNumberFormat="1" applyFont="1" applyBorder="1" applyAlignment="1">
      <alignment horizontal="justify" vertical="center" wrapText="1"/>
    </xf>
    <xf numFmtId="0" fontId="19" fillId="0" borderId="1" xfId="0" applyFont="1" applyBorder="1" applyAlignment="1">
      <alignment horizontal="justify" vertical="center" wrapText="1"/>
    </xf>
    <xf numFmtId="14" fontId="17" fillId="0" borderId="1" xfId="0" applyNumberFormat="1" applyFont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49" fontId="10" fillId="0" borderId="1" xfId="0" quotePrefix="1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2" fillId="0" borderId="1" xfId="0" applyFont="1" applyBorder="1" applyAlignment="1">
      <alignment wrapText="1"/>
    </xf>
    <xf numFmtId="0" fontId="22" fillId="0" borderId="3" xfId="0" applyFont="1" applyBorder="1" applyAlignment="1">
      <alignment wrapText="1"/>
    </xf>
    <xf numFmtId="0" fontId="22" fillId="0" borderId="10" xfId="0" applyFont="1" applyBorder="1" applyAlignment="1">
      <alignment wrapText="1"/>
    </xf>
    <xf numFmtId="0" fontId="22" fillId="0" borderId="11" xfId="0" applyFont="1" applyBorder="1" applyAlignment="1">
      <alignment wrapText="1"/>
    </xf>
    <xf numFmtId="0" fontId="14" fillId="5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justify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" fontId="10" fillId="0" borderId="5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left" vertical="center" wrapText="1"/>
    </xf>
    <xf numFmtId="14" fontId="13" fillId="2" borderId="1" xfId="0" applyNumberFormat="1" applyFont="1" applyFill="1" applyBorder="1" applyAlignment="1">
      <alignment horizontal="left" vertical="center" wrapText="1"/>
    </xf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4" xr:uid="{00000000-0005-0000-0000-000004000000}"/>
    <cellStyle name="Normal 4" xfId="5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</xdr:row>
      <xdr:rowOff>76201</xdr:rowOff>
    </xdr:from>
    <xdr:to>
      <xdr:col>2</xdr:col>
      <xdr:colOff>885825</xdr:colOff>
      <xdr:row>3</xdr:row>
      <xdr:rowOff>114301</xdr:rowOff>
    </xdr:to>
    <xdr:pic>
      <xdr:nvPicPr>
        <xdr:cNvPr id="2" name="Imagen 1" descr="Imagen que contiene Icono&#10;&#10;Descripción generada automáticamente">
          <a:extLst>
            <a:ext uri="{FF2B5EF4-FFF2-40B4-BE49-F238E27FC236}">
              <a16:creationId xmlns:a16="http://schemas.microsoft.com/office/drawing/2014/main" id="{F1B300A8-57A4-36AC-C3D4-8BCA99CB7D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33400" y="266701"/>
          <a:ext cx="866775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DA75-D66A-47A5-A184-6CB5E9A46AA8}">
  <dimension ref="A1:E9"/>
  <sheetViews>
    <sheetView workbookViewId="0">
      <selection activeCell="F9" sqref="F9"/>
    </sheetView>
  </sheetViews>
  <sheetFormatPr baseColWidth="10" defaultColWidth="11.42578125" defaultRowHeight="15" x14ac:dyDescent="0.25"/>
  <cols>
    <col min="1" max="1" width="4.7109375" customWidth="1"/>
    <col min="2" max="2" width="18.7109375" customWidth="1"/>
    <col min="3" max="3" width="35" customWidth="1"/>
    <col min="4" max="4" width="35.140625" customWidth="1"/>
    <col min="5" max="5" width="36.5703125" customWidth="1"/>
  </cols>
  <sheetData>
    <row r="1" spans="1:5" x14ac:dyDescent="0.25">
      <c r="A1" s="42"/>
      <c r="B1" s="42"/>
      <c r="C1" s="19" t="s">
        <v>69</v>
      </c>
      <c r="D1" s="19" t="s">
        <v>70</v>
      </c>
      <c r="E1" s="19" t="s">
        <v>71</v>
      </c>
    </row>
    <row r="2" spans="1:5" x14ac:dyDescent="0.25">
      <c r="A2" s="43" t="s">
        <v>72</v>
      </c>
      <c r="B2" s="43"/>
      <c r="C2" s="38" t="s">
        <v>84</v>
      </c>
      <c r="D2" s="39" t="s">
        <v>85</v>
      </c>
      <c r="E2" s="39" t="s">
        <v>85</v>
      </c>
    </row>
    <row r="3" spans="1:5" x14ac:dyDescent="0.25">
      <c r="A3" s="43" t="s">
        <v>73</v>
      </c>
      <c r="B3" s="43"/>
      <c r="C3" s="40" t="s">
        <v>86</v>
      </c>
      <c r="D3" s="41" t="s">
        <v>87</v>
      </c>
      <c r="E3" s="41" t="s">
        <v>87</v>
      </c>
    </row>
    <row r="4" spans="1:5" x14ac:dyDescent="0.25">
      <c r="A4" s="43" t="s">
        <v>74</v>
      </c>
      <c r="B4" s="43"/>
      <c r="C4" s="40" t="s">
        <v>88</v>
      </c>
      <c r="D4" s="41" t="s">
        <v>89</v>
      </c>
      <c r="E4" s="41" t="s">
        <v>89</v>
      </c>
    </row>
    <row r="6" spans="1:5" x14ac:dyDescent="0.25">
      <c r="A6" s="44" t="s">
        <v>75</v>
      </c>
      <c r="B6" s="44"/>
      <c r="C6" s="44"/>
      <c r="D6" s="44"/>
      <c r="E6" s="44"/>
    </row>
    <row r="7" spans="1:5" x14ac:dyDescent="0.25">
      <c r="A7" s="18" t="s">
        <v>76</v>
      </c>
      <c r="B7" s="18" t="s">
        <v>77</v>
      </c>
      <c r="C7" s="18" t="s">
        <v>78</v>
      </c>
      <c r="D7" s="18" t="s">
        <v>79</v>
      </c>
      <c r="E7" s="20" t="s">
        <v>80</v>
      </c>
    </row>
    <row r="8" spans="1:5" ht="28.5" x14ac:dyDescent="0.25">
      <c r="A8" s="21">
        <v>1</v>
      </c>
      <c r="B8" s="22" t="s">
        <v>81</v>
      </c>
      <c r="C8" s="23" t="s">
        <v>82</v>
      </c>
      <c r="D8" s="22" t="s">
        <v>83</v>
      </c>
      <c r="E8" s="24">
        <v>45547</v>
      </c>
    </row>
    <row r="9" spans="1:5" ht="28.5" customHeight="1" x14ac:dyDescent="0.25">
      <c r="A9" s="21"/>
      <c r="B9" s="22"/>
      <c r="C9" s="23"/>
      <c r="D9" s="22"/>
      <c r="E9" s="25"/>
    </row>
  </sheetData>
  <mergeCells count="5">
    <mergeCell ref="A1:B1"/>
    <mergeCell ref="A2:B2"/>
    <mergeCell ref="A3:B3"/>
    <mergeCell ref="A4:B4"/>
    <mergeCell ref="A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800"/>
  <sheetViews>
    <sheetView showGridLines="0" tabSelected="1" topLeftCell="A7" zoomScaleNormal="100" zoomScalePageLayoutView="75" workbookViewId="0">
      <selection activeCell="E11" sqref="E11"/>
    </sheetView>
  </sheetViews>
  <sheetFormatPr baseColWidth="10" defaultColWidth="11.42578125" defaultRowHeight="15" x14ac:dyDescent="0.25"/>
  <cols>
    <col min="1" max="1" width="1.85546875" customWidth="1"/>
    <col min="2" max="2" width="4.85546875" style="7" bestFit="1" customWidth="1"/>
    <col min="3" max="3" width="18.5703125" style="7" bestFit="1" customWidth="1"/>
    <col min="4" max="4" width="18.140625" style="7" bestFit="1" customWidth="1"/>
    <col min="5" max="5" width="22.42578125" style="4" bestFit="1" customWidth="1"/>
    <col min="6" max="6" width="8.7109375" style="3" bestFit="1" customWidth="1"/>
    <col min="7" max="7" width="8" style="3" bestFit="1" customWidth="1"/>
    <col min="8" max="8" width="9.28515625" style="8" bestFit="1" customWidth="1"/>
    <col min="9" max="9" width="9.28515625" style="8" customWidth="1"/>
    <col min="10" max="10" width="11.28515625" style="8" bestFit="1" customWidth="1"/>
    <col min="11" max="11" width="9.7109375" style="8" bestFit="1" customWidth="1"/>
    <col min="12" max="12" width="5.140625" style="4" bestFit="1" customWidth="1"/>
    <col min="13" max="13" width="9.85546875" style="5" customWidth="1"/>
    <col min="14" max="14" width="4.7109375" customWidth="1"/>
  </cols>
  <sheetData>
    <row r="2" spans="2:13" x14ac:dyDescent="0.25">
      <c r="B2" s="56"/>
      <c r="C2" s="56"/>
      <c r="D2" s="57" t="s">
        <v>0</v>
      </c>
      <c r="E2" s="57"/>
      <c r="F2" s="57"/>
      <c r="G2" s="57"/>
      <c r="H2" s="57"/>
      <c r="I2" s="57"/>
      <c r="J2" s="57"/>
      <c r="K2" s="67" t="s">
        <v>1</v>
      </c>
      <c r="L2" s="67"/>
      <c r="M2" s="67"/>
    </row>
    <row r="3" spans="2:13" x14ac:dyDescent="0.25">
      <c r="B3" s="56"/>
      <c r="C3" s="56"/>
      <c r="D3" s="57"/>
      <c r="E3" s="57"/>
      <c r="F3" s="57"/>
      <c r="G3" s="57"/>
      <c r="H3" s="57"/>
      <c r="I3" s="57"/>
      <c r="J3" s="57"/>
      <c r="K3" s="67" t="s">
        <v>2</v>
      </c>
      <c r="L3" s="67"/>
      <c r="M3" s="67"/>
    </row>
    <row r="4" spans="2:13" x14ac:dyDescent="0.25">
      <c r="B4" s="56"/>
      <c r="C4" s="56"/>
      <c r="D4" s="57"/>
      <c r="E4" s="57"/>
      <c r="F4" s="57"/>
      <c r="G4" s="57"/>
      <c r="H4" s="57"/>
      <c r="I4" s="57"/>
      <c r="J4" s="57"/>
      <c r="K4" s="68">
        <v>45547</v>
      </c>
      <c r="L4" s="68"/>
      <c r="M4" s="68"/>
    </row>
    <row r="6" spans="2:13" s="1" customFormat="1" ht="15" customHeight="1" x14ac:dyDescent="0.25">
      <c r="B6" s="58" t="s">
        <v>3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</row>
    <row r="7" spans="2:13" s="2" customFormat="1" ht="15" customHeight="1" x14ac:dyDescent="0.35">
      <c r="B7" s="58" t="s">
        <v>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</row>
    <row r="8" spans="2:13" s="2" customFormat="1" ht="15" customHeight="1" x14ac:dyDescent="0.35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2:13" ht="33.75" x14ac:dyDescent="0.25">
      <c r="B9" s="16" t="s">
        <v>5</v>
      </c>
      <c r="C9" s="16" t="s">
        <v>6</v>
      </c>
      <c r="D9" s="16" t="s">
        <v>7</v>
      </c>
      <c r="E9" s="17" t="s">
        <v>8</v>
      </c>
      <c r="F9" s="16" t="s">
        <v>9</v>
      </c>
      <c r="G9" s="16" t="s">
        <v>10</v>
      </c>
      <c r="H9" s="12" t="s">
        <v>11</v>
      </c>
      <c r="I9" s="17" t="s">
        <v>12</v>
      </c>
      <c r="J9" s="12" t="s">
        <v>13</v>
      </c>
      <c r="K9" s="12" t="s">
        <v>14</v>
      </c>
      <c r="L9" s="17" t="s">
        <v>15</v>
      </c>
      <c r="M9" s="17" t="s">
        <v>16</v>
      </c>
    </row>
    <row r="10" spans="2:13" ht="24.75" customHeight="1" x14ac:dyDescent="0.25">
      <c r="B10" s="62" t="s">
        <v>17</v>
      </c>
      <c r="C10" s="50" t="s">
        <v>18</v>
      </c>
      <c r="D10" s="50" t="s">
        <v>19</v>
      </c>
      <c r="E10" s="9" t="s">
        <v>20</v>
      </c>
      <c r="F10" s="11"/>
      <c r="G10" s="26"/>
      <c r="H10" s="11">
        <v>11</v>
      </c>
      <c r="I10" s="11">
        <v>18</v>
      </c>
      <c r="J10" s="11"/>
      <c r="K10" s="11">
        <v>1</v>
      </c>
      <c r="L10" s="10">
        <f>SUM(H10:K10)</f>
        <v>30</v>
      </c>
      <c r="M10" s="64">
        <f>INT(SUM(L10:L11)/48)</f>
        <v>1</v>
      </c>
    </row>
    <row r="11" spans="2:13" ht="22.5" x14ac:dyDescent="0.25">
      <c r="B11" s="62"/>
      <c r="C11" s="51"/>
      <c r="D11" s="51"/>
      <c r="E11" s="9" t="s">
        <v>21</v>
      </c>
      <c r="F11" s="11"/>
      <c r="G11" s="26"/>
      <c r="H11" s="11">
        <v>15</v>
      </c>
      <c r="I11" s="11">
        <v>26</v>
      </c>
      <c r="J11" s="11">
        <v>1</v>
      </c>
      <c r="K11" s="11">
        <v>1</v>
      </c>
      <c r="L11" s="10">
        <f t="shared" ref="L11:L17" si="0">SUM(H11:K11)</f>
        <v>43</v>
      </c>
      <c r="M11" s="65"/>
    </row>
    <row r="12" spans="2:13" ht="24.75" customHeight="1" x14ac:dyDescent="0.25">
      <c r="B12" s="62"/>
      <c r="C12" s="45" t="s">
        <v>22</v>
      </c>
      <c r="D12" s="46" t="s">
        <v>23</v>
      </c>
      <c r="E12" s="27" t="s">
        <v>24</v>
      </c>
      <c r="F12" s="11"/>
      <c r="G12" s="26"/>
      <c r="H12" s="11">
        <v>9</v>
      </c>
      <c r="I12" s="11">
        <v>18</v>
      </c>
      <c r="J12" s="11"/>
      <c r="K12" s="11">
        <v>1</v>
      </c>
      <c r="L12" s="10">
        <f t="shared" si="0"/>
        <v>28</v>
      </c>
      <c r="M12" s="64">
        <f>INT(SUM(L12:L13)/48)</f>
        <v>1</v>
      </c>
    </row>
    <row r="13" spans="2:13" ht="22.5" x14ac:dyDescent="0.25">
      <c r="B13" s="62"/>
      <c r="C13" s="45"/>
      <c r="D13" s="49"/>
      <c r="E13" s="11" t="s">
        <v>25</v>
      </c>
      <c r="F13" s="28"/>
      <c r="G13" s="29"/>
      <c r="H13" s="11">
        <v>17</v>
      </c>
      <c r="I13" s="11">
        <v>26</v>
      </c>
      <c r="J13" s="11">
        <v>1</v>
      </c>
      <c r="K13" s="11">
        <v>1</v>
      </c>
      <c r="L13" s="10">
        <f t="shared" si="0"/>
        <v>45</v>
      </c>
      <c r="M13" s="65"/>
    </row>
    <row r="14" spans="2:13" ht="30" customHeight="1" x14ac:dyDescent="0.25">
      <c r="B14" s="62"/>
      <c r="C14" s="45"/>
      <c r="D14" s="46" t="s">
        <v>26</v>
      </c>
      <c r="E14" s="30" t="s">
        <v>27</v>
      </c>
      <c r="F14" s="11"/>
      <c r="G14" s="26"/>
      <c r="H14" s="11">
        <v>13</v>
      </c>
      <c r="I14" s="11">
        <v>22</v>
      </c>
      <c r="J14" s="11">
        <v>1</v>
      </c>
      <c r="K14" s="11">
        <v>1</v>
      </c>
      <c r="L14" s="10">
        <f t="shared" si="0"/>
        <v>37</v>
      </c>
      <c r="M14" s="64">
        <f>INT(SUM(L14:L15)/48)</f>
        <v>1</v>
      </c>
    </row>
    <row r="15" spans="2:13" ht="33.75" x14ac:dyDescent="0.25">
      <c r="B15" s="62"/>
      <c r="C15" s="45"/>
      <c r="D15" s="49"/>
      <c r="E15" s="11" t="s">
        <v>28</v>
      </c>
      <c r="F15" s="11"/>
      <c r="G15" s="26"/>
      <c r="H15" s="11">
        <v>13</v>
      </c>
      <c r="I15" s="11">
        <v>22</v>
      </c>
      <c r="J15" s="11"/>
      <c r="K15" s="11">
        <v>1</v>
      </c>
      <c r="L15" s="10">
        <f t="shared" si="0"/>
        <v>36</v>
      </c>
      <c r="M15" s="65"/>
    </row>
    <row r="16" spans="2:13" ht="33.75" x14ac:dyDescent="0.25">
      <c r="B16" s="62"/>
      <c r="C16" s="51" t="s">
        <v>29</v>
      </c>
      <c r="D16" s="50" t="s">
        <v>30</v>
      </c>
      <c r="E16" s="11" t="s">
        <v>31</v>
      </c>
      <c r="F16" s="11"/>
      <c r="G16" s="26"/>
      <c r="H16" s="11"/>
      <c r="I16" s="11"/>
      <c r="J16" s="11">
        <v>26</v>
      </c>
      <c r="K16" s="11"/>
      <c r="L16" s="10">
        <f t="shared" si="0"/>
        <v>26</v>
      </c>
      <c r="M16" s="64">
        <f>INT(SUM(L16:L17)/48)</f>
        <v>0</v>
      </c>
    </row>
    <row r="17" spans="2:13" ht="22.5" x14ac:dyDescent="0.25">
      <c r="B17" s="62"/>
      <c r="C17" s="63"/>
      <c r="D17" s="63"/>
      <c r="E17" s="11" t="s">
        <v>32</v>
      </c>
      <c r="F17" s="11"/>
      <c r="G17" s="26"/>
      <c r="H17" s="11"/>
      <c r="I17" s="11"/>
      <c r="J17" s="11">
        <v>10</v>
      </c>
      <c r="K17" s="11"/>
      <c r="L17" s="10">
        <f t="shared" si="0"/>
        <v>10</v>
      </c>
      <c r="M17" s="65"/>
    </row>
    <row r="18" spans="2:13" ht="33.75" x14ac:dyDescent="0.25">
      <c r="B18" s="16" t="s">
        <v>5</v>
      </c>
      <c r="C18" s="16" t="s">
        <v>6</v>
      </c>
      <c r="D18" s="16" t="s">
        <v>7</v>
      </c>
      <c r="E18" s="17" t="s">
        <v>8</v>
      </c>
      <c r="F18" s="16" t="s">
        <v>9</v>
      </c>
      <c r="G18" s="16" t="s">
        <v>10</v>
      </c>
      <c r="H18" s="12" t="s">
        <v>11</v>
      </c>
      <c r="I18" s="17" t="s">
        <v>12</v>
      </c>
      <c r="J18" s="12" t="s">
        <v>13</v>
      </c>
      <c r="K18" s="12" t="s">
        <v>14</v>
      </c>
      <c r="L18" s="17" t="s">
        <v>15</v>
      </c>
      <c r="M18" s="17" t="s">
        <v>16</v>
      </c>
    </row>
    <row r="19" spans="2:13" ht="33.75" x14ac:dyDescent="0.25">
      <c r="B19" s="62" t="s">
        <v>33</v>
      </c>
      <c r="C19" s="45" t="s">
        <v>18</v>
      </c>
      <c r="D19" s="46" t="s">
        <v>34</v>
      </c>
      <c r="E19" s="11" t="s">
        <v>35</v>
      </c>
      <c r="F19" s="52">
        <v>220501131</v>
      </c>
      <c r="G19" s="26" t="s">
        <v>36</v>
      </c>
      <c r="H19" s="11">
        <v>6</v>
      </c>
      <c r="I19" s="11">
        <v>12</v>
      </c>
      <c r="J19" s="11"/>
      <c r="K19" s="11"/>
      <c r="L19" s="10">
        <f>SUM(H19:K19)</f>
        <v>18</v>
      </c>
      <c r="M19" s="64">
        <f>INT(SUM(L19:L20)/48)</f>
        <v>0</v>
      </c>
    </row>
    <row r="20" spans="2:13" ht="22.5" x14ac:dyDescent="0.25">
      <c r="B20" s="62"/>
      <c r="C20" s="45"/>
      <c r="D20" s="49"/>
      <c r="E20" s="11" t="s">
        <v>37</v>
      </c>
      <c r="F20" s="53"/>
      <c r="G20" s="26" t="s">
        <v>38</v>
      </c>
      <c r="H20" s="11">
        <v>5</v>
      </c>
      <c r="I20" s="11">
        <v>12</v>
      </c>
      <c r="J20" s="11">
        <v>1</v>
      </c>
      <c r="K20" s="11"/>
      <c r="L20" s="10">
        <f t="shared" ref="L20:L26" si="1">SUM(H20:K20)</f>
        <v>18</v>
      </c>
      <c r="M20" s="65"/>
    </row>
    <row r="21" spans="2:13" ht="22.5" x14ac:dyDescent="0.25">
      <c r="B21" s="62"/>
      <c r="C21" s="45"/>
      <c r="D21" s="49"/>
      <c r="E21" s="11" t="s">
        <v>39</v>
      </c>
      <c r="F21" s="53"/>
      <c r="G21" s="26" t="s">
        <v>40</v>
      </c>
      <c r="H21" s="11">
        <v>6</v>
      </c>
      <c r="I21" s="11">
        <v>12</v>
      </c>
      <c r="J21" s="11"/>
      <c r="K21" s="11">
        <v>1</v>
      </c>
      <c r="L21" s="10">
        <f t="shared" si="1"/>
        <v>19</v>
      </c>
      <c r="M21" s="64">
        <f>INT(SUM(L21:L22)/48)</f>
        <v>0</v>
      </c>
    </row>
    <row r="22" spans="2:13" ht="22.5" x14ac:dyDescent="0.25">
      <c r="B22" s="62"/>
      <c r="C22" s="45"/>
      <c r="D22" s="47"/>
      <c r="E22" s="11" t="s">
        <v>41</v>
      </c>
      <c r="F22" s="54"/>
      <c r="G22" s="26" t="s">
        <v>42</v>
      </c>
      <c r="H22" s="11">
        <v>5</v>
      </c>
      <c r="I22" s="11">
        <v>12</v>
      </c>
      <c r="J22" s="11">
        <v>1</v>
      </c>
      <c r="K22" s="11">
        <v>1</v>
      </c>
      <c r="L22" s="10">
        <f t="shared" si="1"/>
        <v>19</v>
      </c>
      <c r="M22" s="65"/>
    </row>
    <row r="23" spans="2:13" ht="22.5" x14ac:dyDescent="0.25">
      <c r="B23" s="62"/>
      <c r="C23" s="55" t="s">
        <v>43</v>
      </c>
      <c r="D23" s="50" t="s">
        <v>44</v>
      </c>
      <c r="E23" s="11" t="s">
        <v>45</v>
      </c>
      <c r="F23" s="31"/>
      <c r="G23" s="26"/>
      <c r="H23" s="11">
        <v>11</v>
      </c>
      <c r="I23" s="11">
        <v>24</v>
      </c>
      <c r="J23" s="11">
        <v>1</v>
      </c>
      <c r="K23" s="11">
        <v>1</v>
      </c>
      <c r="L23" s="10">
        <f t="shared" si="1"/>
        <v>37</v>
      </c>
      <c r="M23" s="64">
        <f>INT(SUM(L23:L24)/48)</f>
        <v>1</v>
      </c>
    </row>
    <row r="24" spans="2:13" ht="22.5" x14ac:dyDescent="0.25">
      <c r="B24" s="62"/>
      <c r="C24" s="51"/>
      <c r="D24" s="51"/>
      <c r="E24" s="11" t="s">
        <v>46</v>
      </c>
      <c r="F24" s="31"/>
      <c r="G24" s="26"/>
      <c r="H24" s="11">
        <v>11</v>
      </c>
      <c r="I24" s="11">
        <v>23</v>
      </c>
      <c r="J24" s="11"/>
      <c r="K24" s="11">
        <v>2</v>
      </c>
      <c r="L24" s="10">
        <f t="shared" si="1"/>
        <v>36</v>
      </c>
      <c r="M24" s="65"/>
    </row>
    <row r="25" spans="2:13" ht="22.5" x14ac:dyDescent="0.25">
      <c r="B25" s="62"/>
      <c r="C25" s="45" t="s">
        <v>22</v>
      </c>
      <c r="D25" s="46" t="s">
        <v>47</v>
      </c>
      <c r="E25" s="11" t="s">
        <v>48</v>
      </c>
      <c r="F25" s="31"/>
      <c r="G25" s="26"/>
      <c r="H25" s="11">
        <v>10</v>
      </c>
      <c r="I25" s="11">
        <v>24</v>
      </c>
      <c r="J25" s="11">
        <v>1</v>
      </c>
      <c r="K25" s="11">
        <v>1</v>
      </c>
      <c r="L25" s="10">
        <f t="shared" si="1"/>
        <v>36</v>
      </c>
      <c r="M25" s="64">
        <f>INT(SUM(L25:L26)/48)</f>
        <v>1</v>
      </c>
    </row>
    <row r="26" spans="2:13" ht="22.5" x14ac:dyDescent="0.25">
      <c r="B26" s="62"/>
      <c r="C26" s="45"/>
      <c r="D26" s="47"/>
      <c r="E26" s="11" t="s">
        <v>49</v>
      </c>
      <c r="F26" s="31"/>
      <c r="G26" s="26"/>
      <c r="H26" s="11">
        <v>10</v>
      </c>
      <c r="I26" s="11">
        <v>25</v>
      </c>
      <c r="J26" s="11"/>
      <c r="K26" s="11">
        <v>2</v>
      </c>
      <c r="L26" s="10">
        <f t="shared" si="1"/>
        <v>37</v>
      </c>
      <c r="M26" s="65"/>
    </row>
    <row r="27" spans="2:13" ht="33.75" x14ac:dyDescent="0.25">
      <c r="B27" s="16" t="s">
        <v>5</v>
      </c>
      <c r="C27" s="16" t="s">
        <v>6</v>
      </c>
      <c r="D27" s="16" t="s">
        <v>7</v>
      </c>
      <c r="E27" s="17" t="s">
        <v>8</v>
      </c>
      <c r="F27" s="16" t="s">
        <v>9</v>
      </c>
      <c r="G27" s="16" t="s">
        <v>10</v>
      </c>
      <c r="H27" s="12" t="s">
        <v>11</v>
      </c>
      <c r="I27" s="17" t="s">
        <v>12</v>
      </c>
      <c r="J27" s="12" t="s">
        <v>13</v>
      </c>
      <c r="K27" s="12" t="s">
        <v>14</v>
      </c>
      <c r="L27" s="17" t="s">
        <v>15</v>
      </c>
      <c r="M27" s="17" t="s">
        <v>16</v>
      </c>
    </row>
    <row r="28" spans="2:13" ht="22.5" x14ac:dyDescent="0.25">
      <c r="B28" s="62" t="s">
        <v>50</v>
      </c>
      <c r="C28" s="46" t="s">
        <v>18</v>
      </c>
      <c r="D28" s="50" t="s">
        <v>51</v>
      </c>
      <c r="E28" s="11" t="s">
        <v>52</v>
      </c>
      <c r="F28" s="31"/>
      <c r="G28" s="29"/>
      <c r="H28" s="11">
        <v>12</v>
      </c>
      <c r="I28" s="11">
        <v>23</v>
      </c>
      <c r="J28" s="11"/>
      <c r="K28" s="11">
        <v>1</v>
      </c>
      <c r="L28" s="10">
        <f t="shared" ref="L28:L34" si="2">SUM(H28:K28)</f>
        <v>36</v>
      </c>
      <c r="M28" s="64">
        <f>INT(SUM(L28:L29)/48)</f>
        <v>1</v>
      </c>
    </row>
    <row r="29" spans="2:13" ht="22.5" x14ac:dyDescent="0.25">
      <c r="B29" s="62"/>
      <c r="C29" s="49"/>
      <c r="D29" s="51"/>
      <c r="E29" s="11" t="s">
        <v>53</v>
      </c>
      <c r="F29" s="32"/>
      <c r="G29" s="29"/>
      <c r="H29" s="11">
        <v>12</v>
      </c>
      <c r="I29" s="11">
        <v>23</v>
      </c>
      <c r="J29" s="11">
        <v>1</v>
      </c>
      <c r="K29" s="11">
        <v>1</v>
      </c>
      <c r="L29" s="10">
        <f t="shared" si="2"/>
        <v>37</v>
      </c>
      <c r="M29" s="65"/>
    </row>
    <row r="30" spans="2:13" ht="22.5" x14ac:dyDescent="0.25">
      <c r="B30" s="62"/>
      <c r="C30" s="45" t="s">
        <v>43</v>
      </c>
      <c r="D30" s="45" t="s">
        <v>54</v>
      </c>
      <c r="E30" s="33" t="s">
        <v>55</v>
      </c>
      <c r="F30" s="31"/>
      <c r="G30" s="26"/>
      <c r="H30" s="11">
        <v>12</v>
      </c>
      <c r="I30" s="11">
        <v>23</v>
      </c>
      <c r="J30" s="11"/>
      <c r="K30" s="11">
        <v>1</v>
      </c>
      <c r="L30" s="10">
        <f t="shared" si="2"/>
        <v>36</v>
      </c>
      <c r="M30" s="64">
        <f>INT(SUM(L30:L31)/48)</f>
        <v>1</v>
      </c>
    </row>
    <row r="31" spans="2:13" ht="33.75" x14ac:dyDescent="0.25">
      <c r="B31" s="62"/>
      <c r="C31" s="45"/>
      <c r="D31" s="45"/>
      <c r="E31" s="33" t="s">
        <v>56</v>
      </c>
      <c r="F31" s="34"/>
      <c r="G31" s="26"/>
      <c r="H31" s="11">
        <v>12</v>
      </c>
      <c r="I31" s="11">
        <v>23</v>
      </c>
      <c r="J31" s="11">
        <v>1</v>
      </c>
      <c r="K31" s="11">
        <v>1</v>
      </c>
      <c r="L31" s="10">
        <f t="shared" si="2"/>
        <v>37</v>
      </c>
      <c r="M31" s="65"/>
    </row>
    <row r="32" spans="2:13" ht="22.5" x14ac:dyDescent="0.25">
      <c r="B32" s="62"/>
      <c r="C32" s="45" t="s">
        <v>22</v>
      </c>
      <c r="D32" s="45" t="s">
        <v>57</v>
      </c>
      <c r="E32" s="35" t="s">
        <v>58</v>
      </c>
      <c r="F32" s="48">
        <v>220501123</v>
      </c>
      <c r="G32" s="36" t="s">
        <v>36</v>
      </c>
      <c r="H32" s="11">
        <v>8</v>
      </c>
      <c r="I32" s="11">
        <v>18</v>
      </c>
      <c r="J32" s="11"/>
      <c r="K32" s="11">
        <v>1</v>
      </c>
      <c r="L32" s="10">
        <f t="shared" si="2"/>
        <v>27</v>
      </c>
      <c r="M32" s="64">
        <f>INT(SUM(L32:L34)/48)</f>
        <v>1</v>
      </c>
    </row>
    <row r="33" spans="2:13" ht="22.5" x14ac:dyDescent="0.25">
      <c r="B33" s="62"/>
      <c r="C33" s="45"/>
      <c r="D33" s="45"/>
      <c r="E33" s="35" t="s">
        <v>59</v>
      </c>
      <c r="F33" s="48"/>
      <c r="G33" s="36" t="s">
        <v>38</v>
      </c>
      <c r="H33" s="11">
        <v>7</v>
      </c>
      <c r="I33" s="11">
        <v>15</v>
      </c>
      <c r="J33" s="11">
        <v>1</v>
      </c>
      <c r="K33" s="11">
        <v>1</v>
      </c>
      <c r="L33" s="10">
        <f t="shared" si="2"/>
        <v>24</v>
      </c>
      <c r="M33" s="66"/>
    </row>
    <row r="34" spans="2:13" ht="22.5" x14ac:dyDescent="0.25">
      <c r="B34" s="62"/>
      <c r="C34" s="45"/>
      <c r="D34" s="45"/>
      <c r="E34" s="37" t="s">
        <v>60</v>
      </c>
      <c r="F34" s="48"/>
      <c r="G34" s="36" t="s">
        <v>40</v>
      </c>
      <c r="H34" s="11">
        <v>7</v>
      </c>
      <c r="I34" s="11">
        <v>15</v>
      </c>
      <c r="J34" s="11"/>
      <c r="K34" s="11"/>
      <c r="L34" s="10">
        <f t="shared" si="2"/>
        <v>22</v>
      </c>
      <c r="M34" s="65"/>
    </row>
    <row r="35" spans="2:13" x14ac:dyDescent="0.25">
      <c r="B35" s="61" t="s">
        <v>61</v>
      </c>
      <c r="C35" s="61"/>
      <c r="D35" s="61"/>
      <c r="E35" s="61"/>
      <c r="F35" s="61"/>
      <c r="G35" s="61"/>
      <c r="H35" s="13">
        <f t="shared" ref="H35:M35" si="3">SUM(H10:H34)</f>
        <v>212</v>
      </c>
      <c r="I35" s="13">
        <f t="shared" si="3"/>
        <v>416</v>
      </c>
      <c r="J35" s="13">
        <f t="shared" si="3"/>
        <v>46</v>
      </c>
      <c r="K35" s="13">
        <f t="shared" si="3"/>
        <v>20</v>
      </c>
      <c r="L35" s="13">
        <f t="shared" si="3"/>
        <v>694</v>
      </c>
      <c r="M35" s="13">
        <f t="shared" si="3"/>
        <v>8</v>
      </c>
    </row>
    <row r="37" spans="2:13" x14ac:dyDescent="0.25">
      <c r="E37" s="59" t="s">
        <v>62</v>
      </c>
      <c r="F37" s="60"/>
      <c r="G37" s="6"/>
    </row>
    <row r="38" spans="2:13" x14ac:dyDescent="0.25">
      <c r="E38" s="11" t="s">
        <v>63</v>
      </c>
      <c r="F38" s="10">
        <f>H35</f>
        <v>212</v>
      </c>
    </row>
    <row r="39" spans="2:13" x14ac:dyDescent="0.25">
      <c r="E39" s="11" t="s">
        <v>64</v>
      </c>
      <c r="F39" s="10">
        <f>INT(SUM(H35+K35)*20%)</f>
        <v>46</v>
      </c>
    </row>
    <row r="40" spans="2:13" x14ac:dyDescent="0.25">
      <c r="E40" s="11" t="s">
        <v>65</v>
      </c>
      <c r="F40" s="10">
        <f>K35</f>
        <v>20</v>
      </c>
    </row>
    <row r="41" spans="2:13" x14ac:dyDescent="0.25">
      <c r="E41" s="14" t="s">
        <v>66</v>
      </c>
      <c r="F41" s="13">
        <f>H35+J35+K35</f>
        <v>278</v>
      </c>
      <c r="G41" s="4"/>
    </row>
    <row r="42" spans="2:13" x14ac:dyDescent="0.25">
      <c r="E42" s="14" t="s">
        <v>67</v>
      </c>
      <c r="F42" s="13">
        <f>I35</f>
        <v>416</v>
      </c>
      <c r="G42" s="4"/>
    </row>
    <row r="43" spans="2:13" x14ac:dyDescent="0.25">
      <c r="E43" s="14" t="s">
        <v>68</v>
      </c>
      <c r="F43" s="13">
        <f>F41+F42</f>
        <v>694</v>
      </c>
      <c r="G43" s="4"/>
    </row>
    <row r="1362" ht="24.95" customHeight="1" x14ac:dyDescent="0.25"/>
    <row r="1363" ht="24.95" customHeight="1" x14ac:dyDescent="0.25"/>
    <row r="1364" ht="24.95" customHeight="1" x14ac:dyDescent="0.25"/>
    <row r="1365" ht="24.95" customHeight="1" x14ac:dyDescent="0.25"/>
    <row r="1366" ht="24.95" customHeight="1" x14ac:dyDescent="0.25"/>
    <row r="1367" ht="24.95" customHeight="1" x14ac:dyDescent="0.25"/>
    <row r="1368" ht="24.95" customHeight="1" x14ac:dyDescent="0.25"/>
    <row r="1369" ht="24.95" customHeight="1" x14ac:dyDescent="0.25"/>
    <row r="1370" ht="24.95" customHeight="1" x14ac:dyDescent="0.25"/>
    <row r="1371" ht="24.95" customHeight="1" x14ac:dyDescent="0.25"/>
    <row r="1372" ht="24.95" customHeight="1" x14ac:dyDescent="0.25"/>
    <row r="1373" ht="24.95" customHeight="1" x14ac:dyDescent="0.25"/>
    <row r="1374" ht="24.95" customHeight="1" x14ac:dyDescent="0.25"/>
    <row r="1375" ht="24.95" customHeight="1" x14ac:dyDescent="0.25"/>
    <row r="1376" ht="24.95" customHeight="1" x14ac:dyDescent="0.25"/>
    <row r="1377" ht="24.95" customHeight="1" x14ac:dyDescent="0.25"/>
    <row r="1378" ht="24.95" customHeight="1" x14ac:dyDescent="0.25"/>
    <row r="1379" ht="24.95" customHeight="1" x14ac:dyDescent="0.25"/>
    <row r="1380" ht="24.95" customHeight="1" x14ac:dyDescent="0.25"/>
    <row r="1381" ht="24.95" customHeight="1" x14ac:dyDescent="0.25"/>
    <row r="1382" ht="24.95" customHeight="1" x14ac:dyDescent="0.25"/>
    <row r="1383" ht="24.95" customHeight="1" x14ac:dyDescent="0.25"/>
    <row r="1384" ht="24.95" customHeight="1" x14ac:dyDescent="0.25"/>
    <row r="1385" ht="24.95" customHeight="1" x14ac:dyDescent="0.25"/>
    <row r="1386" ht="24.95" customHeight="1" x14ac:dyDescent="0.25"/>
    <row r="1387" ht="24.95" customHeight="1" x14ac:dyDescent="0.25"/>
    <row r="1388" ht="24.95" customHeight="1" x14ac:dyDescent="0.25"/>
    <row r="1389" ht="24.95" customHeight="1" x14ac:dyDescent="0.25"/>
    <row r="1390" ht="24.95" customHeight="1" x14ac:dyDescent="0.25"/>
    <row r="1391" ht="24.95" customHeight="1" x14ac:dyDescent="0.25"/>
    <row r="1392" ht="24.95" customHeight="1" x14ac:dyDescent="0.25"/>
    <row r="1393" ht="24.95" customHeight="1" x14ac:dyDescent="0.25"/>
    <row r="1394" ht="24.95" customHeight="1" x14ac:dyDescent="0.25"/>
    <row r="1395" ht="24.95" customHeight="1" x14ac:dyDescent="0.25"/>
    <row r="1396" ht="24.95" customHeight="1" x14ac:dyDescent="0.25"/>
    <row r="1397" ht="24.95" customHeight="1" x14ac:dyDescent="0.25"/>
    <row r="1398" ht="24.95" customHeight="1" x14ac:dyDescent="0.25"/>
    <row r="1399" ht="24.95" customHeight="1" x14ac:dyDescent="0.25"/>
    <row r="1400" ht="24.95" customHeight="1" x14ac:dyDescent="0.25"/>
    <row r="1401" ht="24.95" customHeight="1" x14ac:dyDescent="0.25"/>
    <row r="1402" ht="24.95" customHeight="1" x14ac:dyDescent="0.25"/>
    <row r="1403" ht="24.95" customHeight="1" x14ac:dyDescent="0.25"/>
    <row r="1404" ht="24.95" customHeight="1" x14ac:dyDescent="0.25"/>
    <row r="1405" ht="24.95" customHeight="1" x14ac:dyDescent="0.25"/>
    <row r="1406" ht="24.95" customHeight="1" x14ac:dyDescent="0.25"/>
    <row r="1407" ht="24.95" customHeight="1" x14ac:dyDescent="0.25"/>
    <row r="1408" ht="24.95" customHeight="1" x14ac:dyDescent="0.25"/>
    <row r="1409" ht="24.95" customHeight="1" x14ac:dyDescent="0.25"/>
    <row r="1410" ht="24.95" customHeight="1" x14ac:dyDescent="0.25"/>
    <row r="1411" ht="24.95" customHeight="1" x14ac:dyDescent="0.25"/>
    <row r="1412" ht="24.95" customHeight="1" x14ac:dyDescent="0.25"/>
    <row r="1413" ht="24.95" customHeight="1" x14ac:dyDescent="0.25"/>
    <row r="1414" ht="24.95" customHeight="1" x14ac:dyDescent="0.25"/>
    <row r="1415" ht="24.95" customHeight="1" x14ac:dyDescent="0.25"/>
    <row r="1416" ht="24.95" customHeight="1" x14ac:dyDescent="0.25"/>
    <row r="1417" ht="24.95" customHeight="1" x14ac:dyDescent="0.25"/>
    <row r="1418" ht="24.95" customHeight="1" x14ac:dyDescent="0.25"/>
    <row r="1419" ht="24.95" customHeight="1" x14ac:dyDescent="0.25"/>
    <row r="1420" ht="24.95" customHeight="1" x14ac:dyDescent="0.25"/>
    <row r="1421" ht="24.95" customHeight="1" x14ac:dyDescent="0.25"/>
    <row r="1422" ht="24.95" customHeight="1" x14ac:dyDescent="0.25"/>
    <row r="1423" ht="24.95" customHeight="1" x14ac:dyDescent="0.25"/>
    <row r="1424" ht="24.95" customHeight="1" x14ac:dyDescent="0.25"/>
    <row r="1425" ht="24.95" customHeight="1" x14ac:dyDescent="0.25"/>
    <row r="1426" ht="24.95" customHeight="1" x14ac:dyDescent="0.25"/>
    <row r="1427" ht="24.95" customHeight="1" x14ac:dyDescent="0.25"/>
    <row r="1428" ht="24.95" customHeight="1" x14ac:dyDescent="0.25"/>
    <row r="1429" ht="24.95" customHeight="1" x14ac:dyDescent="0.25"/>
    <row r="1430" ht="24.95" customHeight="1" x14ac:dyDescent="0.25"/>
    <row r="1431" ht="24.95" customHeight="1" x14ac:dyDescent="0.25"/>
    <row r="1432" ht="24.95" customHeight="1" x14ac:dyDescent="0.25"/>
    <row r="1433" ht="24.95" customHeight="1" x14ac:dyDescent="0.25"/>
    <row r="1434" ht="24.95" customHeight="1" x14ac:dyDescent="0.25"/>
    <row r="1435" ht="24.95" customHeight="1" x14ac:dyDescent="0.25"/>
    <row r="1436" ht="24.95" customHeight="1" x14ac:dyDescent="0.25"/>
    <row r="1437" ht="24.95" customHeight="1" x14ac:dyDescent="0.25"/>
    <row r="1438" ht="24.95" customHeight="1" x14ac:dyDescent="0.25"/>
    <row r="1439" ht="24.95" customHeight="1" x14ac:dyDescent="0.25"/>
    <row r="1440" ht="24.95" customHeight="1" x14ac:dyDescent="0.25"/>
    <row r="1441" ht="24.95" customHeight="1" x14ac:dyDescent="0.25"/>
    <row r="1442" ht="24.95" customHeight="1" x14ac:dyDescent="0.25"/>
    <row r="1443" ht="24.95" customHeight="1" x14ac:dyDescent="0.25"/>
    <row r="1444" ht="24.95" customHeight="1" x14ac:dyDescent="0.25"/>
    <row r="1445" ht="24.95" customHeight="1" x14ac:dyDescent="0.25"/>
    <row r="1446" ht="24.95" customHeight="1" x14ac:dyDescent="0.25"/>
    <row r="1447" ht="24.95" customHeight="1" x14ac:dyDescent="0.25"/>
    <row r="1448" ht="24.95" customHeight="1" x14ac:dyDescent="0.25"/>
    <row r="1449" ht="24.95" customHeight="1" x14ac:dyDescent="0.25"/>
    <row r="1450" ht="24.95" customHeight="1" x14ac:dyDescent="0.25"/>
    <row r="1451" ht="24.95" customHeight="1" x14ac:dyDescent="0.25"/>
    <row r="1452" ht="24.95" customHeight="1" x14ac:dyDescent="0.25"/>
    <row r="1453" ht="24.95" customHeight="1" x14ac:dyDescent="0.25"/>
    <row r="1454" ht="24.95" customHeight="1" x14ac:dyDescent="0.25"/>
    <row r="1455" ht="24.95" customHeight="1" x14ac:dyDescent="0.25"/>
    <row r="1456" ht="24.95" customHeight="1" x14ac:dyDescent="0.25"/>
    <row r="1457" ht="24.95" customHeight="1" x14ac:dyDescent="0.25"/>
    <row r="1458" ht="24.95" customHeight="1" x14ac:dyDescent="0.25"/>
    <row r="1459" ht="24.95" customHeight="1" x14ac:dyDescent="0.25"/>
    <row r="1460" ht="24.95" customHeight="1" x14ac:dyDescent="0.25"/>
    <row r="1461" ht="24.95" customHeight="1" x14ac:dyDescent="0.25"/>
    <row r="1462" ht="24.95" customHeight="1" x14ac:dyDescent="0.25"/>
    <row r="1463" ht="24.95" customHeight="1" x14ac:dyDescent="0.25"/>
    <row r="1464" ht="24.95" customHeight="1" x14ac:dyDescent="0.25"/>
    <row r="1465" ht="24.95" customHeight="1" x14ac:dyDescent="0.25"/>
    <row r="1466" ht="24.95" customHeight="1" x14ac:dyDescent="0.25"/>
    <row r="1467" ht="24.95" customHeight="1" x14ac:dyDescent="0.25"/>
    <row r="1468" ht="24.95" customHeight="1" x14ac:dyDescent="0.25"/>
    <row r="1469" ht="24.95" customHeight="1" x14ac:dyDescent="0.25"/>
    <row r="1470" ht="24.95" customHeight="1" x14ac:dyDescent="0.25"/>
    <row r="1471" ht="24.95" customHeight="1" x14ac:dyDescent="0.25"/>
    <row r="1472" ht="24.95" customHeight="1" x14ac:dyDescent="0.25"/>
    <row r="1473" ht="24.95" customHeight="1" x14ac:dyDescent="0.25"/>
    <row r="1474" ht="24.95" customHeight="1" x14ac:dyDescent="0.25"/>
    <row r="1475" ht="24.95" customHeight="1" x14ac:dyDescent="0.25"/>
    <row r="1476" ht="24.95" customHeight="1" x14ac:dyDescent="0.25"/>
    <row r="1477" ht="24.95" customHeight="1" x14ac:dyDescent="0.25"/>
    <row r="1478" ht="24.95" customHeight="1" x14ac:dyDescent="0.25"/>
    <row r="1479" ht="24.95" customHeight="1" x14ac:dyDescent="0.25"/>
    <row r="1480" ht="24.95" customHeight="1" x14ac:dyDescent="0.25"/>
    <row r="1481" ht="24.95" customHeight="1" x14ac:dyDescent="0.25"/>
    <row r="1482" ht="24.95" customHeight="1" x14ac:dyDescent="0.25"/>
    <row r="1483" ht="24.95" customHeight="1" x14ac:dyDescent="0.25"/>
    <row r="1484" ht="24.95" customHeight="1" x14ac:dyDescent="0.25"/>
    <row r="1485" ht="24.95" customHeight="1" x14ac:dyDescent="0.25"/>
    <row r="1486" ht="24.95" customHeight="1" x14ac:dyDescent="0.25"/>
    <row r="1487" ht="24.95" customHeight="1" x14ac:dyDescent="0.25"/>
    <row r="1488" ht="24.95" customHeight="1" x14ac:dyDescent="0.25"/>
    <row r="1489" ht="24.95" customHeight="1" x14ac:dyDescent="0.25"/>
    <row r="1490" ht="24.95" customHeight="1" x14ac:dyDescent="0.25"/>
    <row r="1491" ht="24.95" customHeight="1" x14ac:dyDescent="0.25"/>
    <row r="1492" ht="24.95" customHeight="1" x14ac:dyDescent="0.25"/>
    <row r="1493" ht="24.95" customHeight="1" x14ac:dyDescent="0.25"/>
    <row r="1494" ht="24.95" customHeight="1" x14ac:dyDescent="0.25"/>
    <row r="1495" ht="24.95" customHeight="1" x14ac:dyDescent="0.25"/>
    <row r="1496" ht="24.95" customHeight="1" x14ac:dyDescent="0.25"/>
    <row r="1497" ht="24.95" customHeight="1" x14ac:dyDescent="0.25"/>
    <row r="1498" ht="24.95" customHeight="1" x14ac:dyDescent="0.25"/>
    <row r="1499" ht="24.95" customHeight="1" x14ac:dyDescent="0.25"/>
    <row r="1500" ht="24.95" customHeight="1" x14ac:dyDescent="0.25"/>
    <row r="1501" ht="24.95" customHeight="1" x14ac:dyDescent="0.25"/>
    <row r="1502" ht="24.95" customHeight="1" x14ac:dyDescent="0.25"/>
    <row r="1503" ht="24.95" customHeight="1" x14ac:dyDescent="0.25"/>
    <row r="1504" ht="24.95" customHeight="1" x14ac:dyDescent="0.25"/>
    <row r="1505" ht="24.95" customHeight="1" x14ac:dyDescent="0.25"/>
    <row r="1506" ht="24.95" customHeight="1" x14ac:dyDescent="0.25"/>
    <row r="1507" ht="24.95" customHeight="1" x14ac:dyDescent="0.25"/>
    <row r="1508" ht="24.95" customHeight="1" x14ac:dyDescent="0.25"/>
    <row r="1509" ht="24.95" customHeight="1" x14ac:dyDescent="0.25"/>
    <row r="1510" ht="24.95" customHeight="1" x14ac:dyDescent="0.25"/>
    <row r="1511" ht="24.95" customHeight="1" x14ac:dyDescent="0.25"/>
    <row r="1512" ht="24.95" customHeight="1" x14ac:dyDescent="0.25"/>
    <row r="1513" ht="24.95" customHeight="1" x14ac:dyDescent="0.25"/>
    <row r="1514" ht="24.95" customHeight="1" x14ac:dyDescent="0.25"/>
    <row r="1515" ht="24.95" customHeight="1" x14ac:dyDescent="0.25"/>
    <row r="1516" ht="24.95" customHeight="1" x14ac:dyDescent="0.25"/>
    <row r="1517" ht="24.95" customHeight="1" x14ac:dyDescent="0.25"/>
    <row r="1518" ht="24.95" customHeight="1" x14ac:dyDescent="0.25"/>
    <row r="1519" ht="24.95" customHeight="1" x14ac:dyDescent="0.25"/>
    <row r="1520" ht="24.95" customHeight="1" x14ac:dyDescent="0.25"/>
    <row r="1521" ht="24.95" customHeight="1" x14ac:dyDescent="0.25"/>
    <row r="1522" ht="24.95" customHeight="1" x14ac:dyDescent="0.25"/>
    <row r="1523" ht="24.95" customHeight="1" x14ac:dyDescent="0.25"/>
    <row r="1524" ht="24.95" customHeight="1" x14ac:dyDescent="0.25"/>
    <row r="1525" ht="24.95" customHeight="1" x14ac:dyDescent="0.25"/>
    <row r="1526" ht="24.95" customHeight="1" x14ac:dyDescent="0.25"/>
    <row r="1527" ht="24.95" customHeight="1" x14ac:dyDescent="0.25"/>
    <row r="1528" ht="24.95" customHeight="1" x14ac:dyDescent="0.25"/>
    <row r="1529" ht="24.95" customHeight="1" x14ac:dyDescent="0.25"/>
    <row r="1530" ht="24.95" customHeight="1" x14ac:dyDescent="0.25"/>
    <row r="1531" ht="24.95" customHeight="1" x14ac:dyDescent="0.25"/>
    <row r="1532" ht="24.95" customHeight="1" x14ac:dyDescent="0.25"/>
    <row r="1533" ht="24.95" customHeight="1" x14ac:dyDescent="0.25"/>
    <row r="1534" ht="24.95" customHeight="1" x14ac:dyDescent="0.25"/>
    <row r="1535" ht="24.95" customHeight="1" x14ac:dyDescent="0.25"/>
    <row r="1536" ht="24.95" customHeight="1" x14ac:dyDescent="0.25"/>
    <row r="1537" ht="24.95" customHeight="1" x14ac:dyDescent="0.25"/>
    <row r="1538" ht="24.95" customHeight="1" x14ac:dyDescent="0.25"/>
    <row r="1539" ht="24.95" customHeight="1" x14ac:dyDescent="0.25"/>
    <row r="1540" ht="24.95" customHeight="1" x14ac:dyDescent="0.25"/>
    <row r="1541" ht="24.95" customHeight="1" x14ac:dyDescent="0.25"/>
    <row r="1542" ht="24.95" customHeight="1" x14ac:dyDescent="0.25"/>
    <row r="1543" ht="24.95" customHeight="1" x14ac:dyDescent="0.25"/>
    <row r="1544" ht="24.95" customHeight="1" x14ac:dyDescent="0.25"/>
    <row r="1545" ht="24.95" customHeight="1" x14ac:dyDescent="0.25"/>
    <row r="1546" ht="24.95" customHeight="1" x14ac:dyDescent="0.25"/>
    <row r="1547" ht="24.95" customHeight="1" x14ac:dyDescent="0.25"/>
    <row r="1548" ht="24.95" customHeight="1" x14ac:dyDescent="0.25"/>
    <row r="1549" ht="24.95" customHeight="1" x14ac:dyDescent="0.25"/>
    <row r="1550" ht="24.95" customHeight="1" x14ac:dyDescent="0.25"/>
    <row r="1551" ht="24.95" customHeight="1" x14ac:dyDescent="0.25"/>
    <row r="1552" ht="24.95" customHeight="1" x14ac:dyDescent="0.25"/>
    <row r="1553" ht="24.95" customHeight="1" x14ac:dyDescent="0.25"/>
    <row r="1554" ht="24.95" customHeight="1" x14ac:dyDescent="0.25"/>
    <row r="1555" ht="24.95" customHeight="1" x14ac:dyDescent="0.25"/>
    <row r="1556" ht="24.95" customHeight="1" x14ac:dyDescent="0.25"/>
    <row r="1557" ht="24.95" customHeight="1" x14ac:dyDescent="0.25"/>
    <row r="1558" ht="24.95" customHeight="1" x14ac:dyDescent="0.25"/>
    <row r="1559" ht="24.95" customHeight="1" x14ac:dyDescent="0.25"/>
    <row r="1560" ht="24.95" customHeight="1" x14ac:dyDescent="0.25"/>
    <row r="1561" ht="24.95" customHeight="1" x14ac:dyDescent="0.25"/>
    <row r="1562" ht="24.95" customHeight="1" x14ac:dyDescent="0.25"/>
    <row r="1563" ht="24.95" customHeight="1" x14ac:dyDescent="0.25"/>
    <row r="1564" ht="24.95" customHeight="1" x14ac:dyDescent="0.25"/>
    <row r="1565" ht="24.95" customHeight="1" x14ac:dyDescent="0.25"/>
    <row r="1566" ht="24.95" customHeight="1" x14ac:dyDescent="0.25"/>
    <row r="1567" ht="24.95" customHeight="1" x14ac:dyDescent="0.25"/>
    <row r="1568" ht="24.95" customHeight="1" x14ac:dyDescent="0.25"/>
    <row r="1569" ht="24.95" customHeight="1" x14ac:dyDescent="0.25"/>
    <row r="1570" ht="24.95" customHeight="1" x14ac:dyDescent="0.25"/>
    <row r="1571" ht="24.95" customHeight="1" x14ac:dyDescent="0.25"/>
    <row r="1572" ht="24.95" customHeight="1" x14ac:dyDescent="0.25"/>
    <row r="1573" ht="24.95" customHeight="1" x14ac:dyDescent="0.25"/>
    <row r="1574" ht="24.95" customHeight="1" x14ac:dyDescent="0.25"/>
    <row r="1575" ht="24.95" customHeight="1" x14ac:dyDescent="0.25"/>
    <row r="1576" ht="24.95" customHeight="1" x14ac:dyDescent="0.25"/>
    <row r="1577" ht="24.95" customHeight="1" x14ac:dyDescent="0.25"/>
    <row r="1578" ht="24.95" customHeight="1" x14ac:dyDescent="0.25"/>
    <row r="1579" ht="24.95" customHeight="1" x14ac:dyDescent="0.25"/>
    <row r="1580" ht="24.95" customHeight="1" x14ac:dyDescent="0.25"/>
    <row r="1581" ht="24.95" customHeight="1" x14ac:dyDescent="0.25"/>
    <row r="1582" ht="24.95" customHeight="1" x14ac:dyDescent="0.25"/>
    <row r="1583" ht="24.95" customHeight="1" x14ac:dyDescent="0.25"/>
    <row r="1584" ht="24.95" customHeight="1" x14ac:dyDescent="0.25"/>
    <row r="1585" ht="24.95" customHeight="1" x14ac:dyDescent="0.25"/>
    <row r="1586" ht="24.95" customHeight="1" x14ac:dyDescent="0.25"/>
    <row r="1587" ht="24.95" customHeight="1" x14ac:dyDescent="0.25"/>
    <row r="1588" ht="24.95" customHeight="1" x14ac:dyDescent="0.25"/>
    <row r="1589" ht="24.95" customHeight="1" x14ac:dyDescent="0.25"/>
    <row r="1590" ht="24.95" customHeight="1" x14ac:dyDescent="0.25"/>
    <row r="1591" ht="24.95" customHeight="1" x14ac:dyDescent="0.25"/>
    <row r="1592" ht="24.95" customHeight="1" x14ac:dyDescent="0.25"/>
    <row r="1593" ht="24.95" customHeight="1" x14ac:dyDescent="0.25"/>
    <row r="1594" ht="24.95" customHeight="1" x14ac:dyDescent="0.25"/>
    <row r="1595" ht="24.95" customHeight="1" x14ac:dyDescent="0.25"/>
    <row r="1596" ht="24.95" customHeight="1" x14ac:dyDescent="0.25"/>
    <row r="1597" ht="24.95" customHeight="1" x14ac:dyDescent="0.25"/>
    <row r="1598" ht="24.95" customHeight="1" x14ac:dyDescent="0.25"/>
    <row r="1599" ht="24.95" customHeight="1" x14ac:dyDescent="0.25"/>
    <row r="1600" ht="24.95" customHeight="1" x14ac:dyDescent="0.25"/>
    <row r="1601" ht="24.95" customHeight="1" x14ac:dyDescent="0.25"/>
    <row r="1602" ht="24.95" customHeight="1" x14ac:dyDescent="0.25"/>
    <row r="1603" ht="24.95" customHeight="1" x14ac:dyDescent="0.25"/>
    <row r="1604" ht="24.95" customHeight="1" x14ac:dyDescent="0.25"/>
    <row r="1605" ht="24.95" customHeight="1" x14ac:dyDescent="0.25"/>
    <row r="1606" ht="24.95" customHeight="1" x14ac:dyDescent="0.25"/>
    <row r="1607" ht="24.95" customHeight="1" x14ac:dyDescent="0.25"/>
    <row r="1608" ht="24.95" customHeight="1" x14ac:dyDescent="0.25"/>
    <row r="1609" ht="24.95" customHeight="1" x14ac:dyDescent="0.25"/>
    <row r="1610" ht="24.95" customHeight="1" x14ac:dyDescent="0.25"/>
    <row r="1611" ht="24.95" customHeight="1" x14ac:dyDescent="0.25"/>
    <row r="1612" ht="24.95" customHeight="1" x14ac:dyDescent="0.25"/>
    <row r="1613" ht="24.95" customHeight="1" x14ac:dyDescent="0.25"/>
    <row r="1614" ht="24.95" customHeight="1" x14ac:dyDescent="0.25"/>
    <row r="1615" ht="24.95" customHeight="1" x14ac:dyDescent="0.25"/>
    <row r="1616" ht="24.95" customHeight="1" x14ac:dyDescent="0.25"/>
    <row r="1617" ht="24.95" customHeight="1" x14ac:dyDescent="0.25"/>
    <row r="1618" ht="24.95" customHeight="1" x14ac:dyDescent="0.25"/>
    <row r="1619" ht="24.95" customHeight="1" x14ac:dyDescent="0.25"/>
    <row r="1620" ht="24.95" customHeight="1" x14ac:dyDescent="0.25"/>
    <row r="1621" ht="24.95" customHeight="1" x14ac:dyDescent="0.25"/>
    <row r="1622" ht="24.95" customHeight="1" x14ac:dyDescent="0.25"/>
    <row r="1623" ht="24.95" customHeight="1" x14ac:dyDescent="0.25"/>
    <row r="1624" ht="24.95" customHeight="1" x14ac:dyDescent="0.25"/>
    <row r="1625" ht="24.95" customHeight="1" x14ac:dyDescent="0.25"/>
    <row r="1626" ht="24.95" customHeight="1" x14ac:dyDescent="0.25"/>
    <row r="1627" ht="24.95" customHeight="1" x14ac:dyDescent="0.25"/>
    <row r="1628" ht="24.95" customHeight="1" x14ac:dyDescent="0.25"/>
    <row r="1629" ht="24.95" customHeight="1" x14ac:dyDescent="0.25"/>
    <row r="1630" ht="24.95" customHeight="1" x14ac:dyDescent="0.25"/>
    <row r="1631" ht="24.95" customHeight="1" x14ac:dyDescent="0.25"/>
    <row r="1632" ht="24.95" customHeight="1" x14ac:dyDescent="0.25"/>
    <row r="1633" ht="24.95" customHeight="1" x14ac:dyDescent="0.25"/>
    <row r="1634" ht="24.95" customHeight="1" x14ac:dyDescent="0.25"/>
    <row r="1635" ht="24.95" customHeight="1" x14ac:dyDescent="0.25"/>
    <row r="1636" ht="24.95" customHeight="1" x14ac:dyDescent="0.25"/>
    <row r="1637" ht="24.95" customHeight="1" x14ac:dyDescent="0.25"/>
    <row r="1638" ht="24.95" customHeight="1" x14ac:dyDescent="0.25"/>
    <row r="1639" ht="24.95" customHeight="1" x14ac:dyDescent="0.25"/>
    <row r="1640" ht="24.95" customHeight="1" x14ac:dyDescent="0.25"/>
    <row r="1641" ht="24.95" customHeight="1" x14ac:dyDescent="0.25"/>
    <row r="1642" ht="24.95" customHeight="1" x14ac:dyDescent="0.25"/>
    <row r="1643" ht="24.95" customHeight="1" x14ac:dyDescent="0.25"/>
    <row r="1644" ht="24.95" customHeight="1" x14ac:dyDescent="0.25"/>
    <row r="1645" ht="24.95" customHeight="1" x14ac:dyDescent="0.25"/>
    <row r="1646" ht="24.95" customHeight="1" x14ac:dyDescent="0.25"/>
    <row r="1647" ht="24.95" customHeight="1" x14ac:dyDescent="0.25"/>
    <row r="1648" ht="24.95" customHeight="1" x14ac:dyDescent="0.25"/>
    <row r="1649" ht="24.95" customHeight="1" x14ac:dyDescent="0.25"/>
    <row r="1650" ht="24.95" customHeight="1" x14ac:dyDescent="0.25"/>
    <row r="1651" ht="24.95" customHeight="1" x14ac:dyDescent="0.25"/>
    <row r="1652" ht="24.95" customHeight="1" x14ac:dyDescent="0.25"/>
    <row r="1653" ht="24.95" customHeight="1" x14ac:dyDescent="0.25"/>
    <row r="1654" ht="24.95" customHeight="1" x14ac:dyDescent="0.25"/>
    <row r="1655" ht="24.95" customHeight="1" x14ac:dyDescent="0.25"/>
    <row r="1656" ht="24.95" customHeight="1" x14ac:dyDescent="0.25"/>
    <row r="1657" ht="24.95" customHeight="1" x14ac:dyDescent="0.25"/>
    <row r="1658" ht="24.95" customHeight="1" x14ac:dyDescent="0.25"/>
    <row r="1659" ht="24.95" customHeight="1" x14ac:dyDescent="0.25"/>
    <row r="1660" ht="24.95" customHeight="1" x14ac:dyDescent="0.25"/>
    <row r="1661" ht="24.95" customHeight="1" x14ac:dyDescent="0.25"/>
    <row r="1662" ht="24.95" customHeight="1" x14ac:dyDescent="0.25"/>
    <row r="1663" ht="24.95" customHeight="1" x14ac:dyDescent="0.25"/>
    <row r="1664" ht="24.95" customHeight="1" x14ac:dyDescent="0.25"/>
    <row r="1665" ht="24.95" customHeight="1" x14ac:dyDescent="0.25"/>
    <row r="1666" ht="24.95" customHeight="1" x14ac:dyDescent="0.25"/>
    <row r="1667" ht="24.95" customHeight="1" x14ac:dyDescent="0.25"/>
    <row r="1668" ht="24.95" customHeight="1" x14ac:dyDescent="0.25"/>
    <row r="1669" ht="24.95" customHeight="1" x14ac:dyDescent="0.25"/>
    <row r="1670" ht="24.95" customHeight="1" x14ac:dyDescent="0.25"/>
    <row r="1671" ht="24.95" customHeight="1" x14ac:dyDescent="0.25"/>
    <row r="1672" ht="24.95" customHeight="1" x14ac:dyDescent="0.25"/>
    <row r="1673" ht="24.95" customHeight="1" x14ac:dyDescent="0.25"/>
    <row r="1674" ht="24.95" customHeight="1" x14ac:dyDescent="0.25"/>
    <row r="1675" ht="24.95" customHeight="1" x14ac:dyDescent="0.25"/>
    <row r="1676" ht="24.95" customHeight="1" x14ac:dyDescent="0.25"/>
    <row r="1677" ht="24.95" customHeight="1" x14ac:dyDescent="0.25"/>
    <row r="1678" ht="24.95" customHeight="1" x14ac:dyDescent="0.25"/>
    <row r="1679" ht="24.95" customHeight="1" x14ac:dyDescent="0.25"/>
    <row r="1680" ht="24.95" customHeight="1" x14ac:dyDescent="0.25"/>
    <row r="1681" ht="24.95" customHeight="1" x14ac:dyDescent="0.25"/>
    <row r="1682" ht="24.95" customHeight="1" x14ac:dyDescent="0.25"/>
    <row r="1683" ht="24.95" customHeight="1" x14ac:dyDescent="0.25"/>
    <row r="1684" ht="24.95" customHeight="1" x14ac:dyDescent="0.25"/>
    <row r="1685" ht="24.95" customHeight="1" x14ac:dyDescent="0.25"/>
    <row r="1686" ht="24.95" customHeight="1" x14ac:dyDescent="0.25"/>
    <row r="1687" ht="24.95" customHeight="1" x14ac:dyDescent="0.25"/>
    <row r="1688" ht="24.95" customHeight="1" x14ac:dyDescent="0.25"/>
    <row r="1689" ht="24.95" customHeight="1" x14ac:dyDescent="0.25"/>
    <row r="1690" ht="24.95" customHeight="1" x14ac:dyDescent="0.25"/>
    <row r="1691" ht="24.95" customHeight="1" x14ac:dyDescent="0.25"/>
    <row r="1692" ht="24.95" customHeight="1" x14ac:dyDescent="0.25"/>
    <row r="1693" ht="24.95" customHeight="1" x14ac:dyDescent="0.25"/>
    <row r="1694" ht="24.95" customHeight="1" x14ac:dyDescent="0.25"/>
    <row r="1695" ht="24.95" customHeight="1" x14ac:dyDescent="0.25"/>
    <row r="1696" ht="24.95" customHeight="1" x14ac:dyDescent="0.25"/>
    <row r="1697" ht="24.95" customHeight="1" x14ac:dyDescent="0.25"/>
    <row r="1698" ht="24.95" customHeight="1" x14ac:dyDescent="0.25"/>
    <row r="1699" ht="24.95" customHeight="1" x14ac:dyDescent="0.25"/>
    <row r="1700" ht="24.95" customHeight="1" x14ac:dyDescent="0.25"/>
    <row r="1701" ht="24.95" customHeight="1" x14ac:dyDescent="0.25"/>
    <row r="1702" ht="24.95" customHeight="1" x14ac:dyDescent="0.25"/>
    <row r="1703" ht="24.95" customHeight="1" x14ac:dyDescent="0.25"/>
    <row r="1704" ht="24.95" customHeight="1" x14ac:dyDescent="0.25"/>
    <row r="1705" ht="24.95" customHeight="1" x14ac:dyDescent="0.25"/>
    <row r="1706" ht="24.95" customHeight="1" x14ac:dyDescent="0.25"/>
    <row r="1707" ht="24.95" customHeight="1" x14ac:dyDescent="0.25"/>
    <row r="1708" ht="24.95" customHeight="1" x14ac:dyDescent="0.25"/>
    <row r="1709" ht="24.95" customHeight="1" x14ac:dyDescent="0.25"/>
    <row r="1710" ht="24.95" customHeight="1" x14ac:dyDescent="0.25"/>
    <row r="1711" ht="24.95" customHeight="1" x14ac:dyDescent="0.25"/>
    <row r="1712" ht="24.95" customHeight="1" x14ac:dyDescent="0.25"/>
    <row r="1713" ht="24.95" customHeight="1" x14ac:dyDescent="0.25"/>
    <row r="1714" ht="24.95" customHeight="1" x14ac:dyDescent="0.25"/>
    <row r="1715" ht="24.95" customHeight="1" x14ac:dyDescent="0.25"/>
    <row r="1716" ht="24.95" customHeight="1" x14ac:dyDescent="0.25"/>
    <row r="1717" ht="24.95" customHeight="1" x14ac:dyDescent="0.25"/>
    <row r="1718" ht="24.95" customHeight="1" x14ac:dyDescent="0.25"/>
    <row r="1719" ht="24.95" customHeight="1" x14ac:dyDescent="0.25"/>
    <row r="1720" ht="24.95" customHeight="1" x14ac:dyDescent="0.25"/>
    <row r="1721" ht="24.95" customHeight="1" x14ac:dyDescent="0.25"/>
    <row r="1722" ht="24.95" customHeight="1" x14ac:dyDescent="0.25"/>
    <row r="1723" ht="24.95" customHeight="1" x14ac:dyDescent="0.25"/>
    <row r="1724" ht="24.95" customHeight="1" x14ac:dyDescent="0.25"/>
    <row r="1725" ht="24.95" customHeight="1" x14ac:dyDescent="0.25"/>
    <row r="1726" ht="24.95" customHeight="1" x14ac:dyDescent="0.25"/>
    <row r="1727" ht="24.95" customHeight="1" x14ac:dyDescent="0.25"/>
    <row r="1728" ht="24.95" customHeight="1" x14ac:dyDescent="0.25"/>
    <row r="1729" ht="24.95" customHeight="1" x14ac:dyDescent="0.25"/>
    <row r="1730" ht="24.95" customHeight="1" x14ac:dyDescent="0.25"/>
    <row r="1731" ht="24.95" customHeight="1" x14ac:dyDescent="0.25"/>
    <row r="1732" ht="24.95" customHeight="1" x14ac:dyDescent="0.25"/>
    <row r="1733" ht="24.95" customHeight="1" x14ac:dyDescent="0.25"/>
    <row r="1734" ht="24.95" customHeight="1" x14ac:dyDescent="0.25"/>
    <row r="1735" ht="24.95" customHeight="1" x14ac:dyDescent="0.25"/>
    <row r="1736" ht="24.95" customHeight="1" x14ac:dyDescent="0.25"/>
    <row r="1737" ht="24.95" customHeight="1" x14ac:dyDescent="0.25"/>
    <row r="1738" ht="24.95" customHeight="1" x14ac:dyDescent="0.25"/>
    <row r="1739" ht="24.95" customHeight="1" x14ac:dyDescent="0.25"/>
    <row r="1740" ht="24.95" customHeight="1" x14ac:dyDescent="0.25"/>
    <row r="1741" ht="24.95" customHeight="1" x14ac:dyDescent="0.25"/>
    <row r="1742" ht="24.95" customHeight="1" x14ac:dyDescent="0.25"/>
    <row r="1743" ht="24.95" customHeight="1" x14ac:dyDescent="0.25"/>
    <row r="1744" ht="24.95" customHeight="1" x14ac:dyDescent="0.25"/>
    <row r="1745" ht="24.95" customHeight="1" x14ac:dyDescent="0.25"/>
    <row r="1746" ht="24.95" customHeight="1" x14ac:dyDescent="0.25"/>
    <row r="1747" ht="24.95" customHeight="1" x14ac:dyDescent="0.25"/>
    <row r="1748" ht="24.95" customHeight="1" x14ac:dyDescent="0.25"/>
    <row r="1749" ht="24.95" customHeight="1" x14ac:dyDescent="0.25"/>
    <row r="1750" ht="24.95" customHeight="1" x14ac:dyDescent="0.25"/>
    <row r="1751" ht="24.95" customHeight="1" x14ac:dyDescent="0.25"/>
    <row r="1752" ht="24.95" customHeight="1" x14ac:dyDescent="0.25"/>
    <row r="1753" ht="24.95" customHeight="1" x14ac:dyDescent="0.25"/>
    <row r="1754" ht="24.95" customHeight="1" x14ac:dyDescent="0.25"/>
    <row r="1755" ht="24.95" customHeight="1" x14ac:dyDescent="0.25"/>
    <row r="1756" ht="24.95" customHeight="1" x14ac:dyDescent="0.25"/>
    <row r="1757" ht="24.95" customHeight="1" x14ac:dyDescent="0.25"/>
    <row r="1758" ht="24.95" customHeight="1" x14ac:dyDescent="0.25"/>
    <row r="1759" ht="24.95" customHeight="1" x14ac:dyDescent="0.25"/>
    <row r="1760" ht="24.95" customHeight="1" x14ac:dyDescent="0.25"/>
    <row r="1761" ht="24.95" customHeight="1" x14ac:dyDescent="0.25"/>
    <row r="1762" ht="24.95" customHeight="1" x14ac:dyDescent="0.25"/>
    <row r="1763" ht="24.95" customHeight="1" x14ac:dyDescent="0.25"/>
    <row r="1764" ht="24.95" customHeight="1" x14ac:dyDescent="0.25"/>
    <row r="1765" ht="24.95" customHeight="1" x14ac:dyDescent="0.25"/>
    <row r="1766" ht="24.95" customHeight="1" x14ac:dyDescent="0.25"/>
    <row r="1767" ht="24.95" customHeight="1" x14ac:dyDescent="0.25"/>
    <row r="1768" ht="24.95" customHeight="1" x14ac:dyDescent="0.25"/>
    <row r="1769" ht="24.95" customHeight="1" x14ac:dyDescent="0.25"/>
    <row r="1770" ht="24.95" customHeight="1" x14ac:dyDescent="0.25"/>
    <row r="1771" ht="24.95" customHeight="1" x14ac:dyDescent="0.25"/>
    <row r="1772" ht="24.95" customHeight="1" x14ac:dyDescent="0.25"/>
    <row r="1773" ht="24.95" customHeight="1" x14ac:dyDescent="0.25"/>
    <row r="1774" ht="24.95" customHeight="1" x14ac:dyDescent="0.25"/>
    <row r="1775" ht="24.95" customHeight="1" x14ac:dyDescent="0.25"/>
    <row r="1776" ht="24.95" customHeight="1" x14ac:dyDescent="0.25"/>
    <row r="1777" ht="24.95" customHeight="1" x14ac:dyDescent="0.25"/>
    <row r="1778" ht="24.95" customHeight="1" x14ac:dyDescent="0.25"/>
    <row r="1779" ht="24.95" customHeight="1" x14ac:dyDescent="0.25"/>
    <row r="1780" ht="24.95" customHeight="1" x14ac:dyDescent="0.25"/>
    <row r="1781" ht="24.95" customHeight="1" x14ac:dyDescent="0.25"/>
    <row r="1782" ht="24.95" customHeight="1" x14ac:dyDescent="0.25"/>
    <row r="1783" ht="24.95" customHeight="1" x14ac:dyDescent="0.25"/>
    <row r="1784" ht="24.95" customHeight="1" x14ac:dyDescent="0.25"/>
    <row r="1785" ht="24.95" customHeight="1" x14ac:dyDescent="0.25"/>
    <row r="1786" ht="24.95" customHeight="1" x14ac:dyDescent="0.25"/>
    <row r="1787" ht="24.95" customHeight="1" x14ac:dyDescent="0.25"/>
    <row r="1788" ht="24.95" customHeight="1" x14ac:dyDescent="0.25"/>
    <row r="1789" ht="24.95" customHeight="1" x14ac:dyDescent="0.25"/>
    <row r="1790" ht="24.95" customHeight="1" x14ac:dyDescent="0.25"/>
    <row r="1791" ht="24.95" customHeight="1" x14ac:dyDescent="0.25"/>
    <row r="1792" ht="24.95" customHeight="1" x14ac:dyDescent="0.25"/>
    <row r="1793" ht="24.95" customHeight="1" x14ac:dyDescent="0.25"/>
    <row r="1794" ht="24.95" customHeight="1" x14ac:dyDescent="0.25"/>
    <row r="1795" ht="24.95" customHeight="1" x14ac:dyDescent="0.25"/>
    <row r="1796" ht="24.95" customHeight="1" x14ac:dyDescent="0.25"/>
    <row r="1797" ht="24.95" customHeight="1" x14ac:dyDescent="0.25"/>
    <row r="1798" ht="24.95" customHeight="1" x14ac:dyDescent="0.25"/>
    <row r="1799" ht="24.95" customHeight="1" x14ac:dyDescent="0.25"/>
    <row r="1800" ht="24.95" customHeight="1" x14ac:dyDescent="0.25"/>
    <row r="1801" ht="24.95" customHeight="1" x14ac:dyDescent="0.25"/>
    <row r="1802" ht="24.95" customHeight="1" x14ac:dyDescent="0.25"/>
    <row r="1803" ht="24.95" customHeight="1" x14ac:dyDescent="0.25"/>
    <row r="1804" ht="24.95" customHeight="1" x14ac:dyDescent="0.25"/>
    <row r="1805" ht="24.95" customHeight="1" x14ac:dyDescent="0.25"/>
    <row r="1806" ht="24.95" customHeight="1" x14ac:dyDescent="0.25"/>
    <row r="1807" ht="24.95" customHeight="1" x14ac:dyDescent="0.25"/>
    <row r="1808" ht="24.95" customHeight="1" x14ac:dyDescent="0.25"/>
    <row r="1809" ht="24.95" customHeight="1" x14ac:dyDescent="0.25"/>
    <row r="1810" ht="24.95" customHeight="1" x14ac:dyDescent="0.25"/>
    <row r="1811" ht="24.95" customHeight="1" x14ac:dyDescent="0.25"/>
    <row r="1812" ht="24.95" customHeight="1" x14ac:dyDescent="0.25"/>
    <row r="1813" ht="24.95" customHeight="1" x14ac:dyDescent="0.25"/>
    <row r="1814" ht="24.95" customHeight="1" x14ac:dyDescent="0.25"/>
    <row r="1815" ht="24.95" customHeight="1" x14ac:dyDescent="0.25"/>
    <row r="1816" ht="24.95" customHeight="1" x14ac:dyDescent="0.25"/>
    <row r="1817" ht="24.95" customHeight="1" x14ac:dyDescent="0.25"/>
    <row r="1818" ht="24.95" customHeight="1" x14ac:dyDescent="0.25"/>
    <row r="1819" ht="24.95" customHeight="1" x14ac:dyDescent="0.25"/>
    <row r="1820" ht="24.95" customHeight="1" x14ac:dyDescent="0.25"/>
    <row r="1821" ht="24.95" customHeight="1" x14ac:dyDescent="0.25"/>
    <row r="1822" ht="24.95" customHeight="1" x14ac:dyDescent="0.25"/>
    <row r="1823" ht="24.95" customHeight="1" x14ac:dyDescent="0.25"/>
    <row r="1824" ht="24.95" customHeight="1" x14ac:dyDescent="0.25"/>
    <row r="1825" ht="24.95" customHeight="1" x14ac:dyDescent="0.25"/>
    <row r="1826" ht="24.95" customHeight="1" x14ac:dyDescent="0.25"/>
    <row r="1827" ht="24.95" customHeight="1" x14ac:dyDescent="0.25"/>
    <row r="1828" ht="24.95" customHeight="1" x14ac:dyDescent="0.25"/>
    <row r="1829" ht="24.95" customHeight="1" x14ac:dyDescent="0.25"/>
    <row r="1830" ht="24.95" customHeight="1" x14ac:dyDescent="0.25"/>
    <row r="1831" ht="24.95" customHeight="1" x14ac:dyDescent="0.25"/>
    <row r="1832" ht="24.95" customHeight="1" x14ac:dyDescent="0.25"/>
    <row r="1833" ht="24.95" customHeight="1" x14ac:dyDescent="0.25"/>
    <row r="1834" ht="24.95" customHeight="1" x14ac:dyDescent="0.25"/>
    <row r="1835" ht="24.95" customHeight="1" x14ac:dyDescent="0.25"/>
    <row r="1836" ht="24.95" customHeight="1" x14ac:dyDescent="0.25"/>
    <row r="1837" ht="24.95" customHeight="1" x14ac:dyDescent="0.25"/>
    <row r="1838" ht="24.95" customHeight="1" x14ac:dyDescent="0.25"/>
    <row r="1839" ht="24.95" customHeight="1" x14ac:dyDescent="0.25"/>
    <row r="1840" ht="24.95" customHeight="1" x14ac:dyDescent="0.25"/>
    <row r="1841" ht="24.95" customHeight="1" x14ac:dyDescent="0.25"/>
    <row r="1842" ht="24.95" customHeight="1" x14ac:dyDescent="0.25"/>
    <row r="1843" ht="24.95" customHeight="1" x14ac:dyDescent="0.25"/>
    <row r="1844" ht="24.95" customHeight="1" x14ac:dyDescent="0.25"/>
    <row r="1845" ht="24.95" customHeight="1" x14ac:dyDescent="0.25"/>
    <row r="1846" ht="24.95" customHeight="1" x14ac:dyDescent="0.25"/>
    <row r="1847" ht="24.95" customHeight="1" x14ac:dyDescent="0.25"/>
    <row r="1848" ht="24.95" customHeight="1" x14ac:dyDescent="0.25"/>
    <row r="1849" ht="24.95" customHeight="1" x14ac:dyDescent="0.25"/>
    <row r="1850" ht="24.95" customHeight="1" x14ac:dyDescent="0.25"/>
    <row r="1851" ht="24.95" customHeight="1" x14ac:dyDescent="0.25"/>
    <row r="1852" ht="24.95" customHeight="1" x14ac:dyDescent="0.25"/>
    <row r="1853" ht="24.95" customHeight="1" x14ac:dyDescent="0.25"/>
    <row r="1854" ht="24.95" customHeight="1" x14ac:dyDescent="0.25"/>
    <row r="1855" ht="24.95" customHeight="1" x14ac:dyDescent="0.25"/>
    <row r="1856" ht="24.95" customHeight="1" x14ac:dyDescent="0.25"/>
    <row r="1857" ht="24.95" customHeight="1" x14ac:dyDescent="0.25"/>
    <row r="1858" ht="24.95" customHeight="1" x14ac:dyDescent="0.25"/>
    <row r="1859" ht="24.95" customHeight="1" x14ac:dyDescent="0.25"/>
    <row r="1860" ht="24.95" customHeight="1" x14ac:dyDescent="0.25"/>
    <row r="1861" ht="24.95" customHeight="1" x14ac:dyDescent="0.25"/>
    <row r="1862" ht="24.95" customHeight="1" x14ac:dyDescent="0.25"/>
    <row r="1863" ht="24.95" customHeight="1" x14ac:dyDescent="0.25"/>
    <row r="1864" ht="24.95" customHeight="1" x14ac:dyDescent="0.25"/>
    <row r="1865" ht="24.95" customHeight="1" x14ac:dyDescent="0.25"/>
    <row r="1866" ht="24.95" customHeight="1" x14ac:dyDescent="0.25"/>
    <row r="1867" ht="24.95" customHeight="1" x14ac:dyDescent="0.25"/>
    <row r="1868" ht="24.95" customHeight="1" x14ac:dyDescent="0.25"/>
    <row r="1869" ht="24.95" customHeight="1" x14ac:dyDescent="0.25"/>
    <row r="1870" ht="24.95" customHeight="1" x14ac:dyDescent="0.25"/>
    <row r="1871" ht="24.95" customHeight="1" x14ac:dyDescent="0.25"/>
    <row r="1872" ht="24.95" customHeight="1" x14ac:dyDescent="0.25"/>
    <row r="1873" ht="24.95" customHeight="1" x14ac:dyDescent="0.25"/>
    <row r="1874" ht="24.95" customHeight="1" x14ac:dyDescent="0.25"/>
    <row r="1875" ht="24.95" customHeight="1" x14ac:dyDescent="0.25"/>
    <row r="1876" ht="24.95" customHeight="1" x14ac:dyDescent="0.25"/>
    <row r="1877" ht="24.95" customHeight="1" x14ac:dyDescent="0.25"/>
    <row r="1878" ht="24.95" customHeight="1" x14ac:dyDescent="0.25"/>
    <row r="1879" ht="24.95" customHeight="1" x14ac:dyDescent="0.25"/>
    <row r="1880" ht="24.95" customHeight="1" x14ac:dyDescent="0.25"/>
    <row r="1881" ht="24.95" customHeight="1" x14ac:dyDescent="0.25"/>
    <row r="1882" ht="24.95" customHeight="1" x14ac:dyDescent="0.25"/>
    <row r="1883" ht="24.95" customHeight="1" x14ac:dyDescent="0.25"/>
    <row r="1884" ht="24.95" customHeight="1" x14ac:dyDescent="0.25"/>
    <row r="1885" ht="24.95" customHeight="1" x14ac:dyDescent="0.25"/>
    <row r="1886" ht="24.95" customHeight="1" x14ac:dyDescent="0.25"/>
    <row r="1887" ht="24.95" customHeight="1" x14ac:dyDescent="0.25"/>
    <row r="1888" ht="24.95" customHeight="1" x14ac:dyDescent="0.25"/>
    <row r="1889" ht="24.95" customHeight="1" x14ac:dyDescent="0.25"/>
    <row r="1890" ht="24.95" customHeight="1" x14ac:dyDescent="0.25"/>
    <row r="1891" ht="24.95" customHeight="1" x14ac:dyDescent="0.25"/>
    <row r="1892" ht="24.95" customHeight="1" x14ac:dyDescent="0.25"/>
    <row r="1893" ht="24.95" customHeight="1" x14ac:dyDescent="0.25"/>
    <row r="1894" ht="24.95" customHeight="1" x14ac:dyDescent="0.25"/>
    <row r="1895" ht="24.95" customHeight="1" x14ac:dyDescent="0.25"/>
    <row r="1896" ht="24.95" customHeight="1" x14ac:dyDescent="0.25"/>
    <row r="1897" ht="24.95" customHeight="1" x14ac:dyDescent="0.25"/>
    <row r="1898" ht="24.95" customHeight="1" x14ac:dyDescent="0.25"/>
    <row r="1899" ht="24.95" customHeight="1" x14ac:dyDescent="0.25"/>
    <row r="1900" ht="24.95" customHeight="1" x14ac:dyDescent="0.25"/>
    <row r="1901" ht="24.95" customHeight="1" x14ac:dyDescent="0.25"/>
    <row r="1902" ht="24.95" customHeight="1" x14ac:dyDescent="0.25"/>
    <row r="1903" ht="24.95" customHeight="1" x14ac:dyDescent="0.25"/>
    <row r="1904" ht="24.95" customHeight="1" x14ac:dyDescent="0.25"/>
    <row r="1905" ht="24.95" customHeight="1" x14ac:dyDescent="0.25"/>
    <row r="1906" ht="24.95" customHeight="1" x14ac:dyDescent="0.25"/>
    <row r="1907" ht="24.95" customHeight="1" x14ac:dyDescent="0.25"/>
    <row r="1908" ht="24.95" customHeight="1" x14ac:dyDescent="0.25"/>
    <row r="1909" ht="24.95" customHeight="1" x14ac:dyDescent="0.25"/>
    <row r="1910" ht="24.95" customHeight="1" x14ac:dyDescent="0.25"/>
    <row r="1911" ht="24.95" customHeight="1" x14ac:dyDescent="0.25"/>
    <row r="1912" ht="24.95" customHeight="1" x14ac:dyDescent="0.25"/>
    <row r="1913" ht="24.95" customHeight="1" x14ac:dyDescent="0.25"/>
    <row r="1914" ht="24.95" customHeight="1" x14ac:dyDescent="0.25"/>
    <row r="1915" ht="24.95" customHeight="1" x14ac:dyDescent="0.25"/>
    <row r="1916" ht="24.95" customHeight="1" x14ac:dyDescent="0.25"/>
    <row r="1917" ht="24.95" customHeight="1" x14ac:dyDescent="0.25"/>
    <row r="1918" ht="24.95" customHeight="1" x14ac:dyDescent="0.25"/>
    <row r="1919" ht="24.95" customHeight="1" x14ac:dyDescent="0.25"/>
    <row r="1920" ht="24.95" customHeight="1" x14ac:dyDescent="0.25"/>
    <row r="1921" ht="24.95" customHeight="1" x14ac:dyDescent="0.25"/>
    <row r="1922" ht="24.95" customHeight="1" x14ac:dyDescent="0.25"/>
    <row r="1923" ht="24.95" customHeight="1" x14ac:dyDescent="0.25"/>
    <row r="1924" ht="24.95" customHeight="1" x14ac:dyDescent="0.25"/>
    <row r="1925" ht="24.95" customHeight="1" x14ac:dyDescent="0.25"/>
    <row r="1926" ht="24.95" customHeight="1" x14ac:dyDescent="0.25"/>
    <row r="1927" ht="24.95" customHeight="1" x14ac:dyDescent="0.25"/>
    <row r="1928" ht="24.95" customHeight="1" x14ac:dyDescent="0.25"/>
    <row r="1929" ht="24.95" customHeight="1" x14ac:dyDescent="0.25"/>
    <row r="1930" ht="24.95" customHeight="1" x14ac:dyDescent="0.25"/>
    <row r="1931" ht="24.95" customHeight="1" x14ac:dyDescent="0.25"/>
    <row r="1932" ht="24.95" customHeight="1" x14ac:dyDescent="0.25"/>
    <row r="1933" ht="24.95" customHeight="1" x14ac:dyDescent="0.25"/>
    <row r="1934" ht="24.95" customHeight="1" x14ac:dyDescent="0.25"/>
    <row r="1935" ht="24.95" customHeight="1" x14ac:dyDescent="0.25"/>
    <row r="1936" ht="24.95" customHeight="1" x14ac:dyDescent="0.25"/>
    <row r="1937" ht="24.95" customHeight="1" x14ac:dyDescent="0.25"/>
    <row r="1938" ht="24.95" customHeight="1" x14ac:dyDescent="0.25"/>
    <row r="1939" ht="24.95" customHeight="1" x14ac:dyDescent="0.25"/>
    <row r="1940" ht="24.95" customHeight="1" x14ac:dyDescent="0.25"/>
    <row r="1941" ht="24.95" customHeight="1" x14ac:dyDescent="0.25"/>
    <row r="1942" ht="24.95" customHeight="1" x14ac:dyDescent="0.25"/>
    <row r="1943" ht="24.95" customHeight="1" x14ac:dyDescent="0.25"/>
    <row r="1944" ht="24.95" customHeight="1" x14ac:dyDescent="0.25"/>
    <row r="1945" ht="24.95" customHeight="1" x14ac:dyDescent="0.25"/>
    <row r="1946" ht="24.95" customHeight="1" x14ac:dyDescent="0.25"/>
    <row r="1947" ht="24.95" customHeight="1" x14ac:dyDescent="0.25"/>
    <row r="1948" ht="24.95" customHeight="1" x14ac:dyDescent="0.25"/>
    <row r="1949" ht="24.95" customHeight="1" x14ac:dyDescent="0.25"/>
    <row r="1950" ht="24.95" customHeight="1" x14ac:dyDescent="0.25"/>
    <row r="1951" ht="24.95" customHeight="1" x14ac:dyDescent="0.25"/>
    <row r="1952" ht="24.95" customHeight="1" x14ac:dyDescent="0.25"/>
    <row r="1953" ht="24.95" customHeight="1" x14ac:dyDescent="0.25"/>
    <row r="1954" ht="24.95" customHeight="1" x14ac:dyDescent="0.25"/>
    <row r="1955" ht="24.95" customHeight="1" x14ac:dyDescent="0.25"/>
    <row r="1956" ht="24.95" customHeight="1" x14ac:dyDescent="0.25"/>
    <row r="1957" ht="24.95" customHeight="1" x14ac:dyDescent="0.25"/>
    <row r="1958" ht="24.95" customHeight="1" x14ac:dyDescent="0.25"/>
    <row r="1959" ht="24.95" customHeight="1" x14ac:dyDescent="0.25"/>
    <row r="1960" ht="24.95" customHeight="1" x14ac:dyDescent="0.25"/>
    <row r="1961" ht="24.95" customHeight="1" x14ac:dyDescent="0.25"/>
    <row r="1962" ht="24.95" customHeight="1" x14ac:dyDescent="0.25"/>
    <row r="1963" ht="24.95" customHeight="1" x14ac:dyDescent="0.25"/>
    <row r="1964" ht="24.95" customHeight="1" x14ac:dyDescent="0.25"/>
    <row r="1965" ht="24.95" customHeight="1" x14ac:dyDescent="0.25"/>
    <row r="1966" ht="24.95" customHeight="1" x14ac:dyDescent="0.25"/>
    <row r="1967" ht="24.95" customHeight="1" x14ac:dyDescent="0.25"/>
    <row r="1968" ht="24.95" customHeight="1" x14ac:dyDescent="0.25"/>
    <row r="1969" ht="24.95" customHeight="1" x14ac:dyDescent="0.25"/>
    <row r="1970" ht="24.95" customHeight="1" x14ac:dyDescent="0.25"/>
    <row r="1971" ht="24.95" customHeight="1" x14ac:dyDescent="0.25"/>
    <row r="1972" ht="24.95" customHeight="1" x14ac:dyDescent="0.25"/>
    <row r="1973" ht="24.95" customHeight="1" x14ac:dyDescent="0.25"/>
    <row r="1974" ht="24.95" customHeight="1" x14ac:dyDescent="0.25"/>
    <row r="1975" ht="24.95" customHeight="1" x14ac:dyDescent="0.25"/>
    <row r="1976" ht="24.95" customHeight="1" x14ac:dyDescent="0.25"/>
    <row r="1977" ht="24.95" customHeight="1" x14ac:dyDescent="0.25"/>
    <row r="1978" ht="24.95" customHeight="1" x14ac:dyDescent="0.25"/>
    <row r="1979" ht="24.95" customHeight="1" x14ac:dyDescent="0.25"/>
    <row r="1980" ht="24.95" customHeight="1" x14ac:dyDescent="0.25"/>
    <row r="1981" ht="24.95" customHeight="1" x14ac:dyDescent="0.25"/>
    <row r="1982" ht="24.95" customHeight="1" x14ac:dyDescent="0.25"/>
    <row r="1983" ht="24.95" customHeight="1" x14ac:dyDescent="0.25"/>
    <row r="1984" ht="24.95" customHeight="1" x14ac:dyDescent="0.25"/>
    <row r="1985" ht="24.95" customHeight="1" x14ac:dyDescent="0.25"/>
    <row r="1986" ht="24.95" customHeight="1" x14ac:dyDescent="0.25"/>
    <row r="1987" ht="24.95" customHeight="1" x14ac:dyDescent="0.25"/>
    <row r="1988" ht="24.95" customHeight="1" x14ac:dyDescent="0.25"/>
    <row r="1989" ht="24.95" customHeight="1" x14ac:dyDescent="0.25"/>
    <row r="1990" ht="24.95" customHeight="1" x14ac:dyDescent="0.25"/>
    <row r="1991" ht="24.95" customHeight="1" x14ac:dyDescent="0.25"/>
    <row r="1992" ht="24.95" customHeight="1" x14ac:dyDescent="0.25"/>
    <row r="1993" ht="24.95" customHeight="1" x14ac:dyDescent="0.25"/>
    <row r="1994" ht="24.95" customHeight="1" x14ac:dyDescent="0.25"/>
    <row r="1995" ht="24.95" customHeight="1" x14ac:dyDescent="0.25"/>
    <row r="1996" ht="24.95" customHeight="1" x14ac:dyDescent="0.25"/>
    <row r="1997" ht="24.95" customHeight="1" x14ac:dyDescent="0.25"/>
    <row r="1998" ht="24.95" customHeight="1" x14ac:dyDescent="0.25"/>
    <row r="1999" ht="24.95" customHeight="1" x14ac:dyDescent="0.25"/>
    <row r="2000" ht="24.95" customHeight="1" x14ac:dyDescent="0.25"/>
    <row r="2001" ht="24.95" customHeight="1" x14ac:dyDescent="0.25"/>
    <row r="2002" ht="24.95" customHeight="1" x14ac:dyDescent="0.25"/>
    <row r="2003" ht="24.95" customHeight="1" x14ac:dyDescent="0.25"/>
    <row r="2004" ht="24.95" customHeight="1" x14ac:dyDescent="0.25"/>
    <row r="2005" ht="24.95" customHeight="1" x14ac:dyDescent="0.25"/>
    <row r="2006" ht="24.95" customHeight="1" x14ac:dyDescent="0.25"/>
    <row r="2007" ht="24.95" customHeight="1" x14ac:dyDescent="0.25"/>
    <row r="2008" ht="24.95" customHeight="1" x14ac:dyDescent="0.25"/>
    <row r="2009" ht="24.95" customHeight="1" x14ac:dyDescent="0.25"/>
    <row r="2010" ht="24.95" customHeight="1" x14ac:dyDescent="0.25"/>
    <row r="2011" ht="24.95" customHeight="1" x14ac:dyDescent="0.25"/>
    <row r="2012" ht="24.95" customHeight="1" x14ac:dyDescent="0.25"/>
    <row r="2013" ht="24.95" customHeight="1" x14ac:dyDescent="0.25"/>
    <row r="2014" ht="24.95" customHeight="1" x14ac:dyDescent="0.25"/>
    <row r="2015" ht="24.95" customHeight="1" x14ac:dyDescent="0.25"/>
    <row r="2016" ht="24.95" customHeight="1" x14ac:dyDescent="0.25"/>
    <row r="2017" ht="24.95" customHeight="1" x14ac:dyDescent="0.25"/>
    <row r="2018" ht="24.95" customHeight="1" x14ac:dyDescent="0.25"/>
    <row r="2019" ht="24.95" customHeight="1" x14ac:dyDescent="0.25"/>
    <row r="2020" ht="24.95" customHeight="1" x14ac:dyDescent="0.25"/>
    <row r="2021" ht="24.95" customHeight="1" x14ac:dyDescent="0.25"/>
    <row r="2022" ht="24.95" customHeight="1" x14ac:dyDescent="0.25"/>
    <row r="2023" ht="24.95" customHeight="1" x14ac:dyDescent="0.25"/>
    <row r="2024" ht="24.95" customHeight="1" x14ac:dyDescent="0.25"/>
    <row r="2025" ht="24.95" customHeight="1" x14ac:dyDescent="0.25"/>
    <row r="2026" ht="24.95" customHeight="1" x14ac:dyDescent="0.25"/>
    <row r="2027" ht="24.95" customHeight="1" x14ac:dyDescent="0.25"/>
    <row r="2028" ht="24.95" customHeight="1" x14ac:dyDescent="0.25"/>
    <row r="2029" ht="24.95" customHeight="1" x14ac:dyDescent="0.25"/>
    <row r="2030" ht="24.95" customHeight="1" x14ac:dyDescent="0.25"/>
    <row r="2031" ht="24.95" customHeight="1" x14ac:dyDescent="0.25"/>
    <row r="2032" ht="24.95" customHeight="1" x14ac:dyDescent="0.25"/>
    <row r="2033" ht="24.95" customHeight="1" x14ac:dyDescent="0.25"/>
    <row r="2034" ht="24.95" customHeight="1" x14ac:dyDescent="0.25"/>
    <row r="2035" ht="24.95" customHeight="1" x14ac:dyDescent="0.25"/>
    <row r="2036" ht="24.95" customHeight="1" x14ac:dyDescent="0.25"/>
    <row r="2037" ht="24.95" customHeight="1" x14ac:dyDescent="0.25"/>
    <row r="2038" ht="24.95" customHeight="1" x14ac:dyDescent="0.25"/>
    <row r="2039" ht="24.95" customHeight="1" x14ac:dyDescent="0.25"/>
    <row r="2040" ht="24.95" customHeight="1" x14ac:dyDescent="0.25"/>
    <row r="2041" ht="24.95" customHeight="1" x14ac:dyDescent="0.25"/>
    <row r="2042" ht="24.95" customHeight="1" x14ac:dyDescent="0.25"/>
    <row r="2043" ht="24.95" customHeight="1" x14ac:dyDescent="0.25"/>
    <row r="2044" ht="24.95" customHeight="1" x14ac:dyDescent="0.25"/>
    <row r="2045" ht="24.95" customHeight="1" x14ac:dyDescent="0.25"/>
    <row r="2046" ht="24.95" customHeight="1" x14ac:dyDescent="0.25"/>
    <row r="2047" ht="24.95" customHeight="1" x14ac:dyDescent="0.25"/>
    <row r="2048" ht="24.95" customHeight="1" x14ac:dyDescent="0.25"/>
    <row r="2049" ht="24.95" customHeight="1" x14ac:dyDescent="0.25"/>
    <row r="2050" ht="24.95" customHeight="1" x14ac:dyDescent="0.25"/>
    <row r="2051" ht="24.95" customHeight="1" x14ac:dyDescent="0.25"/>
    <row r="2052" ht="24.95" customHeight="1" x14ac:dyDescent="0.25"/>
    <row r="2053" ht="24.95" customHeight="1" x14ac:dyDescent="0.25"/>
    <row r="2054" ht="24.95" customHeight="1" x14ac:dyDescent="0.25"/>
    <row r="2055" ht="24.95" customHeight="1" x14ac:dyDescent="0.25"/>
    <row r="2056" ht="24.95" customHeight="1" x14ac:dyDescent="0.25"/>
    <row r="2057" ht="24.95" customHeight="1" x14ac:dyDescent="0.25"/>
    <row r="2058" ht="24.95" customHeight="1" x14ac:dyDescent="0.25"/>
    <row r="2059" ht="24.95" customHeight="1" x14ac:dyDescent="0.25"/>
    <row r="2060" ht="24.95" customHeight="1" x14ac:dyDescent="0.25"/>
    <row r="2061" ht="24.95" customHeight="1" x14ac:dyDescent="0.25"/>
    <row r="2062" ht="24.95" customHeight="1" x14ac:dyDescent="0.25"/>
    <row r="2063" ht="24.95" customHeight="1" x14ac:dyDescent="0.25"/>
    <row r="2064" ht="24.95" customHeight="1" x14ac:dyDescent="0.25"/>
    <row r="2065" ht="24.95" customHeight="1" x14ac:dyDescent="0.25"/>
    <row r="2066" ht="24.95" customHeight="1" x14ac:dyDescent="0.25"/>
    <row r="2067" ht="24.95" customHeight="1" x14ac:dyDescent="0.25"/>
    <row r="2068" ht="24.95" customHeight="1" x14ac:dyDescent="0.25"/>
    <row r="2069" ht="24.95" customHeight="1" x14ac:dyDescent="0.25"/>
    <row r="2070" ht="24.95" customHeight="1" x14ac:dyDescent="0.25"/>
    <row r="2071" ht="24.95" customHeight="1" x14ac:dyDescent="0.25"/>
    <row r="2072" ht="24.95" customHeight="1" x14ac:dyDescent="0.25"/>
    <row r="2073" ht="24.95" customHeight="1" x14ac:dyDescent="0.25"/>
    <row r="2074" ht="24.95" customHeight="1" x14ac:dyDescent="0.25"/>
    <row r="2075" ht="24.95" customHeight="1" x14ac:dyDescent="0.25"/>
    <row r="2076" ht="24.95" customHeight="1" x14ac:dyDescent="0.25"/>
    <row r="2077" ht="24.95" customHeight="1" x14ac:dyDescent="0.25"/>
    <row r="2078" ht="24.95" customHeight="1" x14ac:dyDescent="0.25"/>
    <row r="2079" ht="24.95" customHeight="1" x14ac:dyDescent="0.25"/>
    <row r="2080" ht="24.95" customHeight="1" x14ac:dyDescent="0.25"/>
    <row r="2081" ht="24.95" customHeight="1" x14ac:dyDescent="0.25"/>
    <row r="2082" ht="24.95" customHeight="1" x14ac:dyDescent="0.25"/>
    <row r="2083" ht="24.95" customHeight="1" x14ac:dyDescent="0.25"/>
    <row r="2084" ht="24.95" customHeight="1" x14ac:dyDescent="0.25"/>
    <row r="2085" ht="24.95" customHeight="1" x14ac:dyDescent="0.25"/>
    <row r="2086" ht="24.95" customHeight="1" x14ac:dyDescent="0.25"/>
    <row r="2087" ht="24.95" customHeight="1" x14ac:dyDescent="0.25"/>
    <row r="2088" ht="24.95" customHeight="1" x14ac:dyDescent="0.25"/>
    <row r="2089" ht="24.95" customHeight="1" x14ac:dyDescent="0.25"/>
    <row r="2090" ht="24.95" customHeight="1" x14ac:dyDescent="0.25"/>
    <row r="2091" ht="24.95" customHeight="1" x14ac:dyDescent="0.25"/>
    <row r="2092" ht="24.95" customHeight="1" x14ac:dyDescent="0.25"/>
    <row r="2093" ht="24.95" customHeight="1" x14ac:dyDescent="0.25"/>
    <row r="2094" ht="24.95" customHeight="1" x14ac:dyDescent="0.25"/>
    <row r="2095" ht="24.95" customHeight="1" x14ac:dyDescent="0.25"/>
    <row r="2096" ht="24.95" customHeight="1" x14ac:dyDescent="0.25"/>
    <row r="2097" ht="24.95" customHeight="1" x14ac:dyDescent="0.25"/>
    <row r="2098" ht="24.95" customHeight="1" x14ac:dyDescent="0.25"/>
    <row r="2099" ht="24.95" customHeight="1" x14ac:dyDescent="0.25"/>
    <row r="2100" ht="24.95" customHeight="1" x14ac:dyDescent="0.25"/>
    <row r="2101" ht="24.95" customHeight="1" x14ac:dyDescent="0.25"/>
    <row r="2102" ht="24.95" customHeight="1" x14ac:dyDescent="0.25"/>
    <row r="2103" ht="24.95" customHeight="1" x14ac:dyDescent="0.25"/>
    <row r="2104" ht="24.95" customHeight="1" x14ac:dyDescent="0.25"/>
    <row r="2105" ht="24.95" customHeight="1" x14ac:dyDescent="0.25"/>
    <row r="2106" ht="24.95" customHeight="1" x14ac:dyDescent="0.25"/>
    <row r="2107" ht="24.95" customHeight="1" x14ac:dyDescent="0.25"/>
    <row r="2108" ht="24.95" customHeight="1" x14ac:dyDescent="0.25"/>
    <row r="2109" ht="24.95" customHeight="1" x14ac:dyDescent="0.25"/>
    <row r="2110" ht="24.95" customHeight="1" x14ac:dyDescent="0.25"/>
    <row r="2111" ht="24.95" customHeight="1" x14ac:dyDescent="0.25"/>
    <row r="2112" ht="24.95" customHeight="1" x14ac:dyDescent="0.25"/>
    <row r="2113" ht="24.95" customHeight="1" x14ac:dyDescent="0.25"/>
    <row r="2114" ht="24.95" customHeight="1" x14ac:dyDescent="0.25"/>
    <row r="2115" ht="24.95" customHeight="1" x14ac:dyDescent="0.25"/>
    <row r="2116" ht="24.95" customHeight="1" x14ac:dyDescent="0.25"/>
    <row r="2117" ht="24.95" customHeight="1" x14ac:dyDescent="0.25"/>
    <row r="2118" ht="24.95" customHeight="1" x14ac:dyDescent="0.25"/>
    <row r="2119" ht="24.95" customHeight="1" x14ac:dyDescent="0.25"/>
    <row r="2120" ht="24.95" customHeight="1" x14ac:dyDescent="0.25"/>
    <row r="2121" ht="24.95" customHeight="1" x14ac:dyDescent="0.25"/>
    <row r="2122" ht="24.95" customHeight="1" x14ac:dyDescent="0.25"/>
    <row r="2123" ht="24.95" customHeight="1" x14ac:dyDescent="0.25"/>
    <row r="2124" ht="24.95" customHeight="1" x14ac:dyDescent="0.25"/>
    <row r="2125" ht="24.95" customHeight="1" x14ac:dyDescent="0.25"/>
    <row r="2126" ht="24.95" customHeight="1" x14ac:dyDescent="0.25"/>
    <row r="2127" ht="24.95" customHeight="1" x14ac:dyDescent="0.25"/>
    <row r="2128" ht="24.95" customHeight="1" x14ac:dyDescent="0.25"/>
    <row r="2129" ht="24.95" customHeight="1" x14ac:dyDescent="0.25"/>
    <row r="2130" ht="24.95" customHeight="1" x14ac:dyDescent="0.25"/>
    <row r="2131" ht="24.95" customHeight="1" x14ac:dyDescent="0.25"/>
    <row r="2132" ht="24.95" customHeight="1" x14ac:dyDescent="0.25"/>
    <row r="2133" ht="24.95" customHeight="1" x14ac:dyDescent="0.25"/>
    <row r="2134" ht="24.95" customHeight="1" x14ac:dyDescent="0.25"/>
    <row r="2135" ht="24.95" customHeight="1" x14ac:dyDescent="0.25"/>
    <row r="2136" ht="24.95" customHeight="1" x14ac:dyDescent="0.25"/>
    <row r="2137" ht="24.95" customHeight="1" x14ac:dyDescent="0.25"/>
    <row r="2138" ht="24.95" customHeight="1" x14ac:dyDescent="0.25"/>
    <row r="2139" ht="24.95" customHeight="1" x14ac:dyDescent="0.25"/>
    <row r="2140" ht="24.95" customHeight="1" x14ac:dyDescent="0.25"/>
    <row r="2141" ht="24.95" customHeight="1" x14ac:dyDescent="0.25"/>
    <row r="2142" ht="24.95" customHeight="1" x14ac:dyDescent="0.25"/>
    <row r="2143" ht="24.95" customHeight="1" x14ac:dyDescent="0.25"/>
    <row r="2144" ht="24.95" customHeight="1" x14ac:dyDescent="0.25"/>
    <row r="2145" ht="24.95" customHeight="1" x14ac:dyDescent="0.25"/>
    <row r="2146" ht="24.95" customHeight="1" x14ac:dyDescent="0.25"/>
    <row r="2147" ht="24.95" customHeight="1" x14ac:dyDescent="0.25"/>
    <row r="2148" ht="24.95" customHeight="1" x14ac:dyDescent="0.25"/>
    <row r="2149" ht="24.95" customHeight="1" x14ac:dyDescent="0.25"/>
    <row r="2150" ht="24.95" customHeight="1" x14ac:dyDescent="0.25"/>
    <row r="2151" ht="24.95" customHeight="1" x14ac:dyDescent="0.25"/>
    <row r="2152" ht="24.95" customHeight="1" x14ac:dyDescent="0.25"/>
    <row r="2153" ht="24.95" customHeight="1" x14ac:dyDescent="0.25"/>
    <row r="2154" ht="24.95" customHeight="1" x14ac:dyDescent="0.25"/>
    <row r="2155" ht="24.95" customHeight="1" x14ac:dyDescent="0.25"/>
    <row r="2156" ht="24.95" customHeight="1" x14ac:dyDescent="0.25"/>
    <row r="2157" ht="24.95" customHeight="1" x14ac:dyDescent="0.25"/>
    <row r="2158" ht="24.95" customHeight="1" x14ac:dyDescent="0.25"/>
    <row r="2159" ht="24.95" customHeight="1" x14ac:dyDescent="0.25"/>
    <row r="2160" ht="24.95" customHeight="1" x14ac:dyDescent="0.25"/>
    <row r="2161" ht="24.95" customHeight="1" x14ac:dyDescent="0.25"/>
    <row r="2162" ht="24.95" customHeight="1" x14ac:dyDescent="0.25"/>
    <row r="2163" ht="24.95" customHeight="1" x14ac:dyDescent="0.25"/>
    <row r="2164" ht="24.95" customHeight="1" x14ac:dyDescent="0.25"/>
    <row r="2165" ht="24.95" customHeight="1" x14ac:dyDescent="0.25"/>
    <row r="2166" ht="24.95" customHeight="1" x14ac:dyDescent="0.25"/>
    <row r="2167" ht="24.95" customHeight="1" x14ac:dyDescent="0.25"/>
    <row r="2168" ht="24.95" customHeight="1" x14ac:dyDescent="0.25"/>
    <row r="2169" ht="24.95" customHeight="1" x14ac:dyDescent="0.25"/>
    <row r="2170" ht="24.95" customHeight="1" x14ac:dyDescent="0.25"/>
    <row r="2171" ht="24.95" customHeight="1" x14ac:dyDescent="0.25"/>
    <row r="2172" ht="24.95" customHeight="1" x14ac:dyDescent="0.25"/>
    <row r="2173" ht="24.95" customHeight="1" x14ac:dyDescent="0.25"/>
    <row r="2174" ht="24.95" customHeight="1" x14ac:dyDescent="0.25"/>
    <row r="2175" ht="24.95" customHeight="1" x14ac:dyDescent="0.25"/>
    <row r="2176" ht="24.95" customHeight="1" x14ac:dyDescent="0.25"/>
    <row r="2177" ht="24.95" customHeight="1" x14ac:dyDescent="0.25"/>
    <row r="2178" ht="24.95" customHeight="1" x14ac:dyDescent="0.25"/>
    <row r="2179" ht="24.95" customHeight="1" x14ac:dyDescent="0.25"/>
    <row r="2180" ht="24.95" customHeight="1" x14ac:dyDescent="0.25"/>
    <row r="2181" ht="24.95" customHeight="1" x14ac:dyDescent="0.25"/>
    <row r="2182" ht="24.95" customHeight="1" x14ac:dyDescent="0.25"/>
    <row r="2183" ht="24.95" customHeight="1" x14ac:dyDescent="0.25"/>
    <row r="2184" ht="24.95" customHeight="1" x14ac:dyDescent="0.25"/>
    <row r="2185" ht="24.95" customHeight="1" x14ac:dyDescent="0.25"/>
    <row r="2186" ht="24.95" customHeight="1" x14ac:dyDescent="0.25"/>
    <row r="2187" ht="24.95" customHeight="1" x14ac:dyDescent="0.25"/>
    <row r="2188" ht="24.95" customHeight="1" x14ac:dyDescent="0.25"/>
    <row r="2189" ht="24.95" customHeight="1" x14ac:dyDescent="0.25"/>
    <row r="2190" ht="24.95" customHeight="1" x14ac:dyDescent="0.25"/>
    <row r="2191" ht="24.95" customHeight="1" x14ac:dyDescent="0.25"/>
    <row r="2192" ht="24.95" customHeight="1" x14ac:dyDescent="0.25"/>
    <row r="2193" ht="24.95" customHeight="1" x14ac:dyDescent="0.25"/>
    <row r="2194" ht="24.95" customHeight="1" x14ac:dyDescent="0.25"/>
    <row r="2195" ht="24.95" customHeight="1" x14ac:dyDescent="0.25"/>
    <row r="2196" ht="24.95" customHeight="1" x14ac:dyDescent="0.25"/>
    <row r="2197" ht="24.95" customHeight="1" x14ac:dyDescent="0.25"/>
    <row r="2198" ht="24.95" customHeight="1" x14ac:dyDescent="0.25"/>
    <row r="2199" ht="24.95" customHeight="1" x14ac:dyDescent="0.25"/>
    <row r="2200" ht="24.95" customHeight="1" x14ac:dyDescent="0.25"/>
    <row r="2201" ht="24.95" customHeight="1" x14ac:dyDescent="0.25"/>
    <row r="2202" ht="24.95" customHeight="1" x14ac:dyDescent="0.25"/>
    <row r="2203" ht="24.95" customHeight="1" x14ac:dyDescent="0.25"/>
    <row r="2204" ht="24.95" customHeight="1" x14ac:dyDescent="0.25"/>
    <row r="2205" ht="24.95" customHeight="1" x14ac:dyDescent="0.25"/>
    <row r="2206" ht="24.95" customHeight="1" x14ac:dyDescent="0.25"/>
    <row r="2207" ht="24.95" customHeight="1" x14ac:dyDescent="0.25"/>
    <row r="2208" ht="24.95" customHeight="1" x14ac:dyDescent="0.25"/>
    <row r="2209" ht="24.95" customHeight="1" x14ac:dyDescent="0.25"/>
    <row r="2210" ht="24.95" customHeight="1" x14ac:dyDescent="0.25"/>
    <row r="2211" ht="24.95" customHeight="1" x14ac:dyDescent="0.25"/>
    <row r="2212" ht="24.95" customHeight="1" x14ac:dyDescent="0.25"/>
    <row r="2213" ht="24.95" customHeight="1" x14ac:dyDescent="0.25"/>
    <row r="2214" ht="24.95" customHeight="1" x14ac:dyDescent="0.25"/>
    <row r="2215" ht="24.95" customHeight="1" x14ac:dyDescent="0.25"/>
    <row r="2216" ht="24.95" customHeight="1" x14ac:dyDescent="0.25"/>
    <row r="2217" ht="24.95" customHeight="1" x14ac:dyDescent="0.25"/>
    <row r="2218" ht="24.95" customHeight="1" x14ac:dyDescent="0.25"/>
    <row r="2219" ht="24.95" customHeight="1" x14ac:dyDescent="0.25"/>
    <row r="2220" ht="24.95" customHeight="1" x14ac:dyDescent="0.25"/>
    <row r="2221" ht="24.95" customHeight="1" x14ac:dyDescent="0.25"/>
    <row r="2222" ht="24.95" customHeight="1" x14ac:dyDescent="0.25"/>
    <row r="2223" ht="24.95" customHeight="1" x14ac:dyDescent="0.25"/>
    <row r="2224" ht="24.95" customHeight="1" x14ac:dyDescent="0.25"/>
    <row r="2225" ht="24.95" customHeight="1" x14ac:dyDescent="0.25"/>
    <row r="2226" ht="24.95" customHeight="1" x14ac:dyDescent="0.25"/>
    <row r="2227" ht="24.95" customHeight="1" x14ac:dyDescent="0.25"/>
    <row r="2228" ht="24.95" customHeight="1" x14ac:dyDescent="0.25"/>
    <row r="2229" ht="24.95" customHeight="1" x14ac:dyDescent="0.25"/>
    <row r="2230" ht="24.95" customHeight="1" x14ac:dyDescent="0.25"/>
    <row r="2231" ht="24.95" customHeight="1" x14ac:dyDescent="0.25"/>
    <row r="2232" ht="24.95" customHeight="1" x14ac:dyDescent="0.25"/>
    <row r="2233" ht="24.95" customHeight="1" x14ac:dyDescent="0.25"/>
    <row r="2234" ht="24.95" customHeight="1" x14ac:dyDescent="0.25"/>
    <row r="2235" ht="24.95" customHeight="1" x14ac:dyDescent="0.25"/>
    <row r="2236" ht="24.95" customHeight="1" x14ac:dyDescent="0.25"/>
    <row r="2237" ht="24.95" customHeight="1" x14ac:dyDescent="0.25"/>
    <row r="2238" ht="24.95" customHeight="1" x14ac:dyDescent="0.25"/>
    <row r="2239" ht="24.95" customHeight="1" x14ac:dyDescent="0.25"/>
    <row r="2240" ht="24.95" customHeight="1" x14ac:dyDescent="0.25"/>
    <row r="2241" ht="24.95" customHeight="1" x14ac:dyDescent="0.25"/>
    <row r="2242" ht="24.95" customHeight="1" x14ac:dyDescent="0.25"/>
    <row r="2243" ht="24.95" customHeight="1" x14ac:dyDescent="0.25"/>
    <row r="2244" ht="24.95" customHeight="1" x14ac:dyDescent="0.25"/>
    <row r="2245" ht="24.95" customHeight="1" x14ac:dyDescent="0.25"/>
    <row r="2246" ht="24.95" customHeight="1" x14ac:dyDescent="0.25"/>
    <row r="2247" ht="24.95" customHeight="1" x14ac:dyDescent="0.25"/>
    <row r="2248" ht="24.95" customHeight="1" x14ac:dyDescent="0.25"/>
    <row r="2249" ht="24.95" customHeight="1" x14ac:dyDescent="0.25"/>
    <row r="2250" ht="24.95" customHeight="1" x14ac:dyDescent="0.25"/>
    <row r="2251" ht="24.95" customHeight="1" x14ac:dyDescent="0.25"/>
    <row r="2252" ht="24.95" customHeight="1" x14ac:dyDescent="0.25"/>
    <row r="2253" ht="24.95" customHeight="1" x14ac:dyDescent="0.25"/>
    <row r="2254" ht="24.95" customHeight="1" x14ac:dyDescent="0.25"/>
    <row r="2255" ht="24.95" customHeight="1" x14ac:dyDescent="0.25"/>
    <row r="2256" ht="24.95" customHeight="1" x14ac:dyDescent="0.25"/>
    <row r="2257" ht="24.95" customHeight="1" x14ac:dyDescent="0.25"/>
    <row r="2258" ht="24.95" customHeight="1" x14ac:dyDescent="0.25"/>
    <row r="2259" ht="24.95" customHeight="1" x14ac:dyDescent="0.25"/>
    <row r="2260" ht="24.95" customHeight="1" x14ac:dyDescent="0.25"/>
    <row r="2261" ht="24.95" customHeight="1" x14ac:dyDescent="0.25"/>
    <row r="2262" ht="24.95" customHeight="1" x14ac:dyDescent="0.25"/>
    <row r="2263" ht="24.95" customHeight="1" x14ac:dyDescent="0.25"/>
    <row r="2264" ht="24.95" customHeight="1" x14ac:dyDescent="0.25"/>
    <row r="2265" ht="24.95" customHeight="1" x14ac:dyDescent="0.25"/>
    <row r="2266" ht="24.95" customHeight="1" x14ac:dyDescent="0.25"/>
    <row r="2267" ht="24.95" customHeight="1" x14ac:dyDescent="0.25"/>
    <row r="2268" ht="24.95" customHeight="1" x14ac:dyDescent="0.25"/>
    <row r="2269" ht="24.95" customHeight="1" x14ac:dyDescent="0.25"/>
    <row r="2270" ht="24.95" customHeight="1" x14ac:dyDescent="0.25"/>
    <row r="2271" ht="24.95" customHeight="1" x14ac:dyDescent="0.25"/>
    <row r="2272" ht="24.95" customHeight="1" x14ac:dyDescent="0.25"/>
    <row r="2273" ht="24.95" customHeight="1" x14ac:dyDescent="0.25"/>
    <row r="2274" ht="24.95" customHeight="1" x14ac:dyDescent="0.25"/>
    <row r="2275" ht="24.95" customHeight="1" x14ac:dyDescent="0.25"/>
    <row r="2276" ht="24.95" customHeight="1" x14ac:dyDescent="0.25"/>
    <row r="2277" ht="24.95" customHeight="1" x14ac:dyDescent="0.25"/>
    <row r="2278" ht="24.95" customHeight="1" x14ac:dyDescent="0.25"/>
    <row r="2279" ht="24.95" customHeight="1" x14ac:dyDescent="0.25"/>
    <row r="2280" ht="24.95" customHeight="1" x14ac:dyDescent="0.25"/>
    <row r="2281" ht="24.95" customHeight="1" x14ac:dyDescent="0.25"/>
    <row r="2282" ht="24.95" customHeight="1" x14ac:dyDescent="0.25"/>
    <row r="2283" ht="24.95" customHeight="1" x14ac:dyDescent="0.25"/>
    <row r="2284" ht="24.95" customHeight="1" x14ac:dyDescent="0.25"/>
    <row r="2285" ht="24.95" customHeight="1" x14ac:dyDescent="0.25"/>
    <row r="2286" ht="24.95" customHeight="1" x14ac:dyDescent="0.25"/>
    <row r="2287" ht="24.95" customHeight="1" x14ac:dyDescent="0.25"/>
    <row r="2288" ht="24.95" customHeight="1" x14ac:dyDescent="0.25"/>
    <row r="2289" ht="24.95" customHeight="1" x14ac:dyDescent="0.25"/>
    <row r="2290" ht="24.95" customHeight="1" x14ac:dyDescent="0.25"/>
    <row r="2291" ht="24.95" customHeight="1" x14ac:dyDescent="0.25"/>
    <row r="2292" ht="24.95" customHeight="1" x14ac:dyDescent="0.25"/>
    <row r="2293" ht="24.95" customHeight="1" x14ac:dyDescent="0.25"/>
    <row r="2294" ht="24.95" customHeight="1" x14ac:dyDescent="0.25"/>
    <row r="2295" ht="24.95" customHeight="1" x14ac:dyDescent="0.25"/>
    <row r="2296" ht="24.95" customHeight="1" x14ac:dyDescent="0.25"/>
    <row r="2297" ht="24.95" customHeight="1" x14ac:dyDescent="0.25"/>
    <row r="2298" ht="24.95" customHeight="1" x14ac:dyDescent="0.25"/>
    <row r="2299" ht="24.95" customHeight="1" x14ac:dyDescent="0.25"/>
    <row r="2300" ht="24.95" customHeight="1" x14ac:dyDescent="0.25"/>
    <row r="2301" ht="24.95" customHeight="1" x14ac:dyDescent="0.25"/>
    <row r="2302" ht="24.95" customHeight="1" x14ac:dyDescent="0.25"/>
    <row r="2303" ht="24.95" customHeight="1" x14ac:dyDescent="0.25"/>
    <row r="2304" ht="24.95" customHeight="1" x14ac:dyDescent="0.25"/>
    <row r="2305" ht="24.95" customHeight="1" x14ac:dyDescent="0.25"/>
    <row r="2306" ht="24.95" customHeight="1" x14ac:dyDescent="0.25"/>
    <row r="2307" ht="24.95" customHeight="1" x14ac:dyDescent="0.25"/>
    <row r="2308" ht="24.95" customHeight="1" x14ac:dyDescent="0.25"/>
    <row r="2309" ht="24.95" customHeight="1" x14ac:dyDescent="0.25"/>
    <row r="2310" ht="24.95" customHeight="1" x14ac:dyDescent="0.25"/>
    <row r="2311" ht="24.95" customHeight="1" x14ac:dyDescent="0.25"/>
    <row r="2312" ht="24.95" customHeight="1" x14ac:dyDescent="0.25"/>
    <row r="2313" ht="24.95" customHeight="1" x14ac:dyDescent="0.25"/>
    <row r="2314" ht="24.95" customHeight="1" x14ac:dyDescent="0.25"/>
    <row r="2315" ht="24.95" customHeight="1" x14ac:dyDescent="0.25"/>
    <row r="2316" ht="24.95" customHeight="1" x14ac:dyDescent="0.25"/>
    <row r="2317" ht="24.95" customHeight="1" x14ac:dyDescent="0.25"/>
    <row r="2318" ht="24.95" customHeight="1" x14ac:dyDescent="0.25"/>
    <row r="2319" ht="24.95" customHeight="1" x14ac:dyDescent="0.25"/>
    <row r="2320" ht="24.95" customHeight="1" x14ac:dyDescent="0.25"/>
    <row r="2321" ht="24.95" customHeight="1" x14ac:dyDescent="0.25"/>
    <row r="2322" ht="24.95" customHeight="1" x14ac:dyDescent="0.25"/>
    <row r="2323" ht="24.95" customHeight="1" x14ac:dyDescent="0.25"/>
    <row r="2324" ht="24.95" customHeight="1" x14ac:dyDescent="0.25"/>
    <row r="2325" ht="24.95" customHeight="1" x14ac:dyDescent="0.25"/>
    <row r="2326" ht="24.95" customHeight="1" x14ac:dyDescent="0.25"/>
    <row r="2327" ht="24.95" customHeight="1" x14ac:dyDescent="0.25"/>
    <row r="2328" ht="24.95" customHeight="1" x14ac:dyDescent="0.25"/>
    <row r="2329" ht="24.95" customHeight="1" x14ac:dyDescent="0.25"/>
    <row r="2330" ht="24.95" customHeight="1" x14ac:dyDescent="0.25"/>
    <row r="2331" ht="24.95" customHeight="1" x14ac:dyDescent="0.25"/>
    <row r="2332" ht="24.95" customHeight="1" x14ac:dyDescent="0.25"/>
    <row r="2333" ht="24.95" customHeight="1" x14ac:dyDescent="0.25"/>
    <row r="2334" ht="24.95" customHeight="1" x14ac:dyDescent="0.25"/>
    <row r="2335" ht="24.95" customHeight="1" x14ac:dyDescent="0.25"/>
    <row r="2336" ht="24.95" customHeight="1" x14ac:dyDescent="0.25"/>
    <row r="2337" ht="24.95" customHeight="1" x14ac:dyDescent="0.25"/>
    <row r="2338" ht="24.95" customHeight="1" x14ac:dyDescent="0.25"/>
    <row r="2339" ht="24.95" customHeight="1" x14ac:dyDescent="0.25"/>
    <row r="2340" ht="24.95" customHeight="1" x14ac:dyDescent="0.25"/>
    <row r="2341" ht="24.95" customHeight="1" x14ac:dyDescent="0.25"/>
    <row r="2342" ht="24.95" customHeight="1" x14ac:dyDescent="0.25"/>
    <row r="2343" ht="24.95" customHeight="1" x14ac:dyDescent="0.25"/>
    <row r="2344" ht="24.95" customHeight="1" x14ac:dyDescent="0.25"/>
    <row r="2345" ht="24.95" customHeight="1" x14ac:dyDescent="0.25"/>
    <row r="2346" ht="24.95" customHeight="1" x14ac:dyDescent="0.25"/>
    <row r="2347" ht="24.95" customHeight="1" x14ac:dyDescent="0.25"/>
    <row r="2348" ht="24.95" customHeight="1" x14ac:dyDescent="0.25"/>
    <row r="2349" ht="24.95" customHeight="1" x14ac:dyDescent="0.25"/>
    <row r="2350" ht="24.95" customHeight="1" x14ac:dyDescent="0.25"/>
    <row r="2351" ht="24.95" customHeight="1" x14ac:dyDescent="0.25"/>
    <row r="2352" ht="24.95" customHeight="1" x14ac:dyDescent="0.25"/>
    <row r="2353" ht="24.95" customHeight="1" x14ac:dyDescent="0.25"/>
    <row r="2354" ht="24.95" customHeight="1" x14ac:dyDescent="0.25"/>
    <row r="2355" ht="24.95" customHeight="1" x14ac:dyDescent="0.25"/>
    <row r="2356" ht="24.95" customHeight="1" x14ac:dyDescent="0.25"/>
    <row r="2357" ht="24.95" customHeight="1" x14ac:dyDescent="0.25"/>
    <row r="2358" ht="24.95" customHeight="1" x14ac:dyDescent="0.25"/>
    <row r="2359" ht="24.95" customHeight="1" x14ac:dyDescent="0.25"/>
    <row r="2360" ht="24.95" customHeight="1" x14ac:dyDescent="0.25"/>
    <row r="2361" ht="24.95" customHeight="1" x14ac:dyDescent="0.25"/>
    <row r="2362" ht="24.95" customHeight="1" x14ac:dyDescent="0.25"/>
    <row r="2363" ht="24.95" customHeight="1" x14ac:dyDescent="0.25"/>
    <row r="2364" ht="24.95" customHeight="1" x14ac:dyDescent="0.25"/>
    <row r="2365" ht="24.95" customHeight="1" x14ac:dyDescent="0.25"/>
    <row r="2366" ht="24.95" customHeight="1" x14ac:dyDescent="0.25"/>
    <row r="2367" ht="24.95" customHeight="1" x14ac:dyDescent="0.25"/>
    <row r="2368" ht="24.95" customHeight="1" x14ac:dyDescent="0.25"/>
    <row r="2369" ht="24.95" customHeight="1" x14ac:dyDescent="0.25"/>
    <row r="2370" ht="24.95" customHeight="1" x14ac:dyDescent="0.25"/>
    <row r="2371" ht="24.95" customHeight="1" x14ac:dyDescent="0.25"/>
    <row r="2372" ht="24.95" customHeight="1" x14ac:dyDescent="0.25"/>
    <row r="2373" ht="24.95" customHeight="1" x14ac:dyDescent="0.25"/>
    <row r="2374" ht="24.95" customHeight="1" x14ac:dyDescent="0.25"/>
    <row r="2375" ht="24.95" customHeight="1" x14ac:dyDescent="0.25"/>
    <row r="2376" ht="24.95" customHeight="1" x14ac:dyDescent="0.25"/>
    <row r="2377" ht="24.95" customHeight="1" x14ac:dyDescent="0.25"/>
    <row r="2378" ht="24.95" customHeight="1" x14ac:dyDescent="0.25"/>
    <row r="2379" ht="24.95" customHeight="1" x14ac:dyDescent="0.25"/>
    <row r="2380" ht="24.95" customHeight="1" x14ac:dyDescent="0.25"/>
    <row r="2381" ht="24.95" customHeight="1" x14ac:dyDescent="0.25"/>
    <row r="2382" ht="24.95" customHeight="1" x14ac:dyDescent="0.25"/>
    <row r="2383" ht="24.95" customHeight="1" x14ac:dyDescent="0.25"/>
    <row r="2384" ht="24.95" customHeight="1" x14ac:dyDescent="0.25"/>
    <row r="2385" ht="24.95" customHeight="1" x14ac:dyDescent="0.25"/>
    <row r="2386" ht="24.95" customHeight="1" x14ac:dyDescent="0.25"/>
    <row r="2387" ht="24.95" customHeight="1" x14ac:dyDescent="0.25"/>
    <row r="2388" ht="24.95" customHeight="1" x14ac:dyDescent="0.25"/>
    <row r="2389" ht="24.95" customHeight="1" x14ac:dyDescent="0.25"/>
    <row r="2390" ht="24.95" customHeight="1" x14ac:dyDescent="0.25"/>
    <row r="2391" ht="24.95" customHeight="1" x14ac:dyDescent="0.25"/>
    <row r="2392" ht="24.95" customHeight="1" x14ac:dyDescent="0.25"/>
    <row r="2393" ht="24.95" customHeight="1" x14ac:dyDescent="0.25"/>
    <row r="2394" ht="24.95" customHeight="1" x14ac:dyDescent="0.25"/>
    <row r="2395" ht="24.95" customHeight="1" x14ac:dyDescent="0.25"/>
    <row r="2396" ht="24.95" customHeight="1" x14ac:dyDescent="0.25"/>
    <row r="2397" ht="24.95" customHeight="1" x14ac:dyDescent="0.25"/>
    <row r="2398" ht="24.95" customHeight="1" x14ac:dyDescent="0.25"/>
    <row r="2399" ht="24.95" customHeight="1" x14ac:dyDescent="0.25"/>
    <row r="2400" ht="24.95" customHeight="1" x14ac:dyDescent="0.25"/>
    <row r="2401" ht="24.95" customHeight="1" x14ac:dyDescent="0.25"/>
    <row r="2402" ht="24.95" customHeight="1" x14ac:dyDescent="0.25"/>
    <row r="2403" ht="24.95" customHeight="1" x14ac:dyDescent="0.25"/>
    <row r="2404" ht="24.95" customHeight="1" x14ac:dyDescent="0.25"/>
    <row r="2405" ht="24.95" customHeight="1" x14ac:dyDescent="0.25"/>
    <row r="2406" ht="24.95" customHeight="1" x14ac:dyDescent="0.25"/>
    <row r="2407" ht="24.95" customHeight="1" x14ac:dyDescent="0.25"/>
    <row r="2408" ht="24.95" customHeight="1" x14ac:dyDescent="0.25"/>
    <row r="2409" ht="24.95" customHeight="1" x14ac:dyDescent="0.25"/>
    <row r="2410" ht="24.95" customHeight="1" x14ac:dyDescent="0.25"/>
    <row r="2411" ht="24.95" customHeight="1" x14ac:dyDescent="0.25"/>
    <row r="2412" ht="24.95" customHeight="1" x14ac:dyDescent="0.25"/>
    <row r="2413" ht="24.95" customHeight="1" x14ac:dyDescent="0.25"/>
    <row r="2414" ht="24.95" customHeight="1" x14ac:dyDescent="0.25"/>
    <row r="2415" ht="24.95" customHeight="1" x14ac:dyDescent="0.25"/>
    <row r="2416" ht="24.95" customHeight="1" x14ac:dyDescent="0.25"/>
    <row r="2417" ht="24.95" customHeight="1" x14ac:dyDescent="0.25"/>
    <row r="2418" ht="24.95" customHeight="1" x14ac:dyDescent="0.25"/>
    <row r="2419" ht="24.95" customHeight="1" x14ac:dyDescent="0.25"/>
    <row r="2420" ht="24.95" customHeight="1" x14ac:dyDescent="0.25"/>
    <row r="2421" ht="24.95" customHeight="1" x14ac:dyDescent="0.25"/>
    <row r="2422" ht="24.95" customHeight="1" x14ac:dyDescent="0.25"/>
    <row r="2423" ht="24.95" customHeight="1" x14ac:dyDescent="0.25"/>
    <row r="2424" ht="24.95" customHeight="1" x14ac:dyDescent="0.25"/>
    <row r="2425" ht="24.95" customHeight="1" x14ac:dyDescent="0.25"/>
    <row r="2426" ht="24.95" customHeight="1" x14ac:dyDescent="0.25"/>
    <row r="2427" ht="24.95" customHeight="1" x14ac:dyDescent="0.25"/>
    <row r="2428" ht="24.95" customHeight="1" x14ac:dyDescent="0.25"/>
    <row r="2429" ht="24.95" customHeight="1" x14ac:dyDescent="0.25"/>
    <row r="2430" ht="24.95" customHeight="1" x14ac:dyDescent="0.25"/>
    <row r="2431" ht="24.95" customHeight="1" x14ac:dyDescent="0.25"/>
    <row r="2432" ht="24.95" customHeight="1" x14ac:dyDescent="0.25"/>
    <row r="2433" ht="24.95" customHeight="1" x14ac:dyDescent="0.25"/>
    <row r="2434" ht="24.95" customHeight="1" x14ac:dyDescent="0.25"/>
    <row r="2435" ht="24.95" customHeight="1" x14ac:dyDescent="0.25"/>
    <row r="2436" ht="24.95" customHeight="1" x14ac:dyDescent="0.25"/>
    <row r="2437" ht="24.95" customHeight="1" x14ac:dyDescent="0.25"/>
    <row r="2438" ht="24.95" customHeight="1" x14ac:dyDescent="0.25"/>
    <row r="2439" ht="24.95" customHeight="1" x14ac:dyDescent="0.25"/>
    <row r="2440" ht="24.95" customHeight="1" x14ac:dyDescent="0.25"/>
    <row r="2441" ht="24.95" customHeight="1" x14ac:dyDescent="0.25"/>
    <row r="2442" ht="24.95" customHeight="1" x14ac:dyDescent="0.25"/>
    <row r="2443" ht="24.95" customHeight="1" x14ac:dyDescent="0.25"/>
    <row r="2444" ht="24.95" customHeight="1" x14ac:dyDescent="0.25"/>
    <row r="2445" ht="24.95" customHeight="1" x14ac:dyDescent="0.25"/>
    <row r="2446" ht="24.95" customHeight="1" x14ac:dyDescent="0.25"/>
    <row r="2447" ht="24.95" customHeight="1" x14ac:dyDescent="0.25"/>
    <row r="2448" ht="24.95" customHeight="1" x14ac:dyDescent="0.25"/>
    <row r="2449" ht="24.95" customHeight="1" x14ac:dyDescent="0.25"/>
    <row r="2450" ht="24.95" customHeight="1" x14ac:dyDescent="0.25"/>
    <row r="2451" ht="24.95" customHeight="1" x14ac:dyDescent="0.25"/>
    <row r="2452" ht="24.95" customHeight="1" x14ac:dyDescent="0.25"/>
    <row r="2453" ht="24.95" customHeight="1" x14ac:dyDescent="0.25"/>
    <row r="2454" ht="24.95" customHeight="1" x14ac:dyDescent="0.25"/>
    <row r="2455" ht="24.95" customHeight="1" x14ac:dyDescent="0.25"/>
    <row r="2456" ht="24.95" customHeight="1" x14ac:dyDescent="0.25"/>
    <row r="2457" ht="24.95" customHeight="1" x14ac:dyDescent="0.25"/>
    <row r="2458" ht="24.95" customHeight="1" x14ac:dyDescent="0.25"/>
    <row r="2459" ht="24.95" customHeight="1" x14ac:dyDescent="0.25"/>
    <row r="2460" ht="24.95" customHeight="1" x14ac:dyDescent="0.25"/>
    <row r="2461" ht="24.95" customHeight="1" x14ac:dyDescent="0.25"/>
    <row r="2462" ht="24.95" customHeight="1" x14ac:dyDescent="0.25"/>
    <row r="2463" ht="24.95" customHeight="1" x14ac:dyDescent="0.25"/>
    <row r="2464" ht="24.95" customHeight="1" x14ac:dyDescent="0.25"/>
    <row r="2465" ht="24.95" customHeight="1" x14ac:dyDescent="0.25"/>
    <row r="2466" ht="24.95" customHeight="1" x14ac:dyDescent="0.25"/>
    <row r="2467" ht="24.95" customHeight="1" x14ac:dyDescent="0.25"/>
    <row r="2468" ht="24.95" customHeight="1" x14ac:dyDescent="0.25"/>
    <row r="2469" ht="24.95" customHeight="1" x14ac:dyDescent="0.25"/>
    <row r="2470" ht="24.95" customHeight="1" x14ac:dyDescent="0.25"/>
    <row r="2471" ht="24.95" customHeight="1" x14ac:dyDescent="0.25"/>
    <row r="2472" ht="24.95" customHeight="1" x14ac:dyDescent="0.25"/>
    <row r="2473" ht="24.95" customHeight="1" x14ac:dyDescent="0.25"/>
    <row r="2474" ht="24.95" customHeight="1" x14ac:dyDescent="0.25"/>
    <row r="2475" ht="24.95" customHeight="1" x14ac:dyDescent="0.25"/>
    <row r="2476" ht="24.95" customHeight="1" x14ac:dyDescent="0.25"/>
    <row r="2477" ht="24.95" customHeight="1" x14ac:dyDescent="0.25"/>
    <row r="2478" ht="24.95" customHeight="1" x14ac:dyDescent="0.25"/>
    <row r="2479" ht="24.95" customHeight="1" x14ac:dyDescent="0.25"/>
    <row r="2480" ht="24.95" customHeight="1" x14ac:dyDescent="0.25"/>
    <row r="2481" ht="24.95" customHeight="1" x14ac:dyDescent="0.25"/>
    <row r="2482" ht="24.95" customHeight="1" x14ac:dyDescent="0.25"/>
    <row r="2483" ht="24.95" customHeight="1" x14ac:dyDescent="0.25"/>
    <row r="2484" ht="24.95" customHeight="1" x14ac:dyDescent="0.25"/>
    <row r="2485" ht="24.95" customHeight="1" x14ac:dyDescent="0.25"/>
    <row r="2486" ht="24.95" customHeight="1" x14ac:dyDescent="0.25"/>
    <row r="2487" ht="24.95" customHeight="1" x14ac:dyDescent="0.25"/>
    <row r="2488" ht="24.95" customHeight="1" x14ac:dyDescent="0.25"/>
    <row r="2489" ht="24.95" customHeight="1" x14ac:dyDescent="0.25"/>
    <row r="2490" ht="24.95" customHeight="1" x14ac:dyDescent="0.25"/>
    <row r="2491" ht="24.95" customHeight="1" x14ac:dyDescent="0.25"/>
    <row r="2492" ht="24.95" customHeight="1" x14ac:dyDescent="0.25"/>
    <row r="2493" ht="24.95" customHeight="1" x14ac:dyDescent="0.25"/>
    <row r="2494" ht="24.95" customHeight="1" x14ac:dyDescent="0.25"/>
    <row r="2495" ht="24.95" customHeight="1" x14ac:dyDescent="0.25"/>
    <row r="2496" ht="24.95" customHeight="1" x14ac:dyDescent="0.25"/>
    <row r="2497" ht="24.95" customHeight="1" x14ac:dyDescent="0.25"/>
    <row r="2498" ht="24.95" customHeight="1" x14ac:dyDescent="0.25"/>
    <row r="2499" ht="24.95" customHeight="1" x14ac:dyDescent="0.25"/>
    <row r="2500" ht="24.95" customHeight="1" x14ac:dyDescent="0.25"/>
    <row r="2501" ht="24.95" customHeight="1" x14ac:dyDescent="0.25"/>
    <row r="2502" ht="24.95" customHeight="1" x14ac:dyDescent="0.25"/>
    <row r="2503" ht="24.95" customHeight="1" x14ac:dyDescent="0.25"/>
    <row r="2504" ht="24.95" customHeight="1" x14ac:dyDescent="0.25"/>
    <row r="2505" ht="24.95" customHeight="1" x14ac:dyDescent="0.25"/>
    <row r="2506" ht="24.95" customHeight="1" x14ac:dyDescent="0.25"/>
    <row r="2507" ht="24.95" customHeight="1" x14ac:dyDescent="0.25"/>
    <row r="2508" ht="24.95" customHeight="1" x14ac:dyDescent="0.25"/>
    <row r="2509" ht="24.95" customHeight="1" x14ac:dyDescent="0.25"/>
    <row r="2510" ht="24.95" customHeight="1" x14ac:dyDescent="0.25"/>
    <row r="2511" ht="24.95" customHeight="1" x14ac:dyDescent="0.25"/>
    <row r="2512" ht="24.95" customHeight="1" x14ac:dyDescent="0.25"/>
    <row r="2513" ht="24.95" customHeight="1" x14ac:dyDescent="0.25"/>
    <row r="2514" ht="24.95" customHeight="1" x14ac:dyDescent="0.25"/>
    <row r="2515" ht="24.95" customHeight="1" x14ac:dyDescent="0.25"/>
    <row r="2516" ht="24.95" customHeight="1" x14ac:dyDescent="0.25"/>
    <row r="2517" ht="24.95" customHeight="1" x14ac:dyDescent="0.25"/>
    <row r="2518" ht="24.95" customHeight="1" x14ac:dyDescent="0.25"/>
    <row r="2519" ht="24.95" customHeight="1" x14ac:dyDescent="0.25"/>
    <row r="2520" ht="24.95" customHeight="1" x14ac:dyDescent="0.25"/>
    <row r="2521" ht="24.95" customHeight="1" x14ac:dyDescent="0.25"/>
    <row r="2522" ht="24.95" customHeight="1" x14ac:dyDescent="0.25"/>
    <row r="2523" ht="24.95" customHeight="1" x14ac:dyDescent="0.25"/>
    <row r="2524" ht="24.95" customHeight="1" x14ac:dyDescent="0.25"/>
    <row r="2525" ht="24.95" customHeight="1" x14ac:dyDescent="0.25"/>
    <row r="2526" ht="24.95" customHeight="1" x14ac:dyDescent="0.25"/>
    <row r="2527" ht="24.95" customHeight="1" x14ac:dyDescent="0.25"/>
    <row r="2528" ht="24.95" customHeight="1" x14ac:dyDescent="0.25"/>
    <row r="2529" ht="24.95" customHeight="1" x14ac:dyDescent="0.25"/>
    <row r="2530" ht="24.95" customHeight="1" x14ac:dyDescent="0.25"/>
    <row r="2531" ht="24.95" customHeight="1" x14ac:dyDescent="0.25"/>
    <row r="2532" ht="24.95" customHeight="1" x14ac:dyDescent="0.25"/>
    <row r="2533" ht="24.95" customHeight="1" x14ac:dyDescent="0.25"/>
    <row r="2534" ht="24.95" customHeight="1" x14ac:dyDescent="0.25"/>
    <row r="2535" ht="24.95" customHeight="1" x14ac:dyDescent="0.25"/>
    <row r="2536" ht="24.95" customHeight="1" x14ac:dyDescent="0.25"/>
    <row r="2537" ht="24.95" customHeight="1" x14ac:dyDescent="0.25"/>
    <row r="2538" ht="24.95" customHeight="1" x14ac:dyDescent="0.25"/>
    <row r="2539" ht="24.95" customHeight="1" x14ac:dyDescent="0.25"/>
    <row r="2540" ht="24.95" customHeight="1" x14ac:dyDescent="0.25"/>
    <row r="2541" ht="24.95" customHeight="1" x14ac:dyDescent="0.25"/>
    <row r="2542" ht="24.95" customHeight="1" x14ac:dyDescent="0.25"/>
    <row r="2543" ht="24.95" customHeight="1" x14ac:dyDescent="0.25"/>
    <row r="2544" ht="24.95" customHeight="1" x14ac:dyDescent="0.25"/>
    <row r="2545" ht="24.95" customHeight="1" x14ac:dyDescent="0.25"/>
    <row r="2546" ht="24.95" customHeight="1" x14ac:dyDescent="0.25"/>
    <row r="2547" ht="24.95" customHeight="1" x14ac:dyDescent="0.25"/>
    <row r="2548" ht="24.95" customHeight="1" x14ac:dyDescent="0.25"/>
    <row r="2549" ht="24.95" customHeight="1" x14ac:dyDescent="0.25"/>
    <row r="2550" ht="24.95" customHeight="1" x14ac:dyDescent="0.25"/>
    <row r="2551" ht="24.95" customHeight="1" x14ac:dyDescent="0.25"/>
    <row r="2552" ht="24.95" customHeight="1" x14ac:dyDescent="0.25"/>
    <row r="2553" ht="24.95" customHeight="1" x14ac:dyDescent="0.25"/>
    <row r="2554" ht="24.95" customHeight="1" x14ac:dyDescent="0.25"/>
    <row r="2555" ht="24.95" customHeight="1" x14ac:dyDescent="0.25"/>
    <row r="2556" ht="24.95" customHeight="1" x14ac:dyDescent="0.25"/>
    <row r="2557" ht="24.95" customHeight="1" x14ac:dyDescent="0.25"/>
    <row r="2558" ht="24.95" customHeight="1" x14ac:dyDescent="0.25"/>
    <row r="2559" ht="24.95" customHeight="1" x14ac:dyDescent="0.25"/>
    <row r="2560" ht="24.95" customHeight="1" x14ac:dyDescent="0.25"/>
    <row r="2561" ht="24.95" customHeight="1" x14ac:dyDescent="0.25"/>
    <row r="2562" ht="24.95" customHeight="1" x14ac:dyDescent="0.25"/>
    <row r="2563" ht="24.95" customHeight="1" x14ac:dyDescent="0.25"/>
    <row r="2564" ht="24.95" customHeight="1" x14ac:dyDescent="0.25"/>
    <row r="2565" ht="24.95" customHeight="1" x14ac:dyDescent="0.25"/>
    <row r="2566" ht="24.95" customHeight="1" x14ac:dyDescent="0.25"/>
    <row r="2567" ht="24.95" customHeight="1" x14ac:dyDescent="0.25"/>
    <row r="2568" ht="24.95" customHeight="1" x14ac:dyDescent="0.25"/>
    <row r="2569" ht="24.95" customHeight="1" x14ac:dyDescent="0.25"/>
    <row r="2570" ht="24.95" customHeight="1" x14ac:dyDescent="0.25"/>
    <row r="2571" ht="24.95" customHeight="1" x14ac:dyDescent="0.25"/>
    <row r="2572" ht="24.95" customHeight="1" x14ac:dyDescent="0.25"/>
    <row r="2573" ht="24.95" customHeight="1" x14ac:dyDescent="0.25"/>
    <row r="2574" ht="24.95" customHeight="1" x14ac:dyDescent="0.25"/>
    <row r="2575" ht="24.95" customHeight="1" x14ac:dyDescent="0.25"/>
    <row r="2576" ht="24.95" customHeight="1" x14ac:dyDescent="0.25"/>
    <row r="2577" ht="24.95" customHeight="1" x14ac:dyDescent="0.25"/>
    <row r="2578" ht="24.95" customHeight="1" x14ac:dyDescent="0.25"/>
    <row r="2579" ht="24.95" customHeight="1" x14ac:dyDescent="0.25"/>
    <row r="2580" ht="24.95" customHeight="1" x14ac:dyDescent="0.25"/>
    <row r="2581" ht="24.95" customHeight="1" x14ac:dyDescent="0.25"/>
    <row r="2582" ht="24.95" customHeight="1" x14ac:dyDescent="0.25"/>
    <row r="2583" ht="24.95" customHeight="1" x14ac:dyDescent="0.25"/>
    <row r="2584" ht="24.95" customHeight="1" x14ac:dyDescent="0.25"/>
    <row r="2585" ht="24.95" customHeight="1" x14ac:dyDescent="0.25"/>
    <row r="2586" ht="24.95" customHeight="1" x14ac:dyDescent="0.25"/>
    <row r="2587" ht="24.95" customHeight="1" x14ac:dyDescent="0.25"/>
    <row r="2588" ht="24.95" customHeight="1" x14ac:dyDescent="0.25"/>
    <row r="2589" ht="24.95" customHeight="1" x14ac:dyDescent="0.25"/>
    <row r="2590" ht="24.95" customHeight="1" x14ac:dyDescent="0.25"/>
    <row r="2591" ht="24.95" customHeight="1" x14ac:dyDescent="0.25"/>
    <row r="2592" ht="24.95" customHeight="1" x14ac:dyDescent="0.25"/>
    <row r="2593" ht="24.95" customHeight="1" x14ac:dyDescent="0.25"/>
    <row r="2594" ht="24.95" customHeight="1" x14ac:dyDescent="0.25"/>
    <row r="2595" ht="24.95" customHeight="1" x14ac:dyDescent="0.25"/>
    <row r="2596" ht="24.95" customHeight="1" x14ac:dyDescent="0.25"/>
    <row r="2597" ht="24.95" customHeight="1" x14ac:dyDescent="0.25"/>
    <row r="2598" ht="24.95" customHeight="1" x14ac:dyDescent="0.25"/>
    <row r="2599" ht="24.95" customHeight="1" x14ac:dyDescent="0.25"/>
    <row r="2600" ht="24.95" customHeight="1" x14ac:dyDescent="0.25"/>
    <row r="2601" ht="24.95" customHeight="1" x14ac:dyDescent="0.25"/>
    <row r="2602" ht="24.95" customHeight="1" x14ac:dyDescent="0.25"/>
    <row r="2603" ht="24.95" customHeight="1" x14ac:dyDescent="0.25"/>
    <row r="2604" ht="24.95" customHeight="1" x14ac:dyDescent="0.25"/>
    <row r="2605" ht="24.95" customHeight="1" x14ac:dyDescent="0.25"/>
    <row r="2606" ht="24.95" customHeight="1" x14ac:dyDescent="0.25"/>
    <row r="2607" ht="24.95" customHeight="1" x14ac:dyDescent="0.25"/>
    <row r="2608" ht="24.95" customHeight="1" x14ac:dyDescent="0.25"/>
    <row r="2609" ht="24.95" customHeight="1" x14ac:dyDescent="0.25"/>
    <row r="2610" ht="24.95" customHeight="1" x14ac:dyDescent="0.25"/>
    <row r="2611" ht="24.95" customHeight="1" x14ac:dyDescent="0.25"/>
    <row r="2612" ht="24.95" customHeight="1" x14ac:dyDescent="0.25"/>
    <row r="2613" ht="24.95" customHeight="1" x14ac:dyDescent="0.25"/>
    <row r="2614" ht="24.95" customHeight="1" x14ac:dyDescent="0.25"/>
    <row r="2615" ht="24.95" customHeight="1" x14ac:dyDescent="0.25"/>
    <row r="2616" ht="24.95" customHeight="1" x14ac:dyDescent="0.25"/>
    <row r="2617" ht="24.95" customHeight="1" x14ac:dyDescent="0.25"/>
    <row r="2618" ht="24.95" customHeight="1" x14ac:dyDescent="0.25"/>
    <row r="2619" ht="24.95" customHeight="1" x14ac:dyDescent="0.25"/>
    <row r="2620" ht="24.95" customHeight="1" x14ac:dyDescent="0.25"/>
    <row r="2621" ht="24.95" customHeight="1" x14ac:dyDescent="0.25"/>
    <row r="2622" ht="24.95" customHeight="1" x14ac:dyDescent="0.25"/>
    <row r="2623" ht="24.95" customHeight="1" x14ac:dyDescent="0.25"/>
    <row r="2624" ht="24.95" customHeight="1" x14ac:dyDescent="0.25"/>
    <row r="2625" ht="24.95" customHeight="1" x14ac:dyDescent="0.25"/>
    <row r="2626" ht="24.95" customHeight="1" x14ac:dyDescent="0.25"/>
    <row r="2627" ht="24.95" customHeight="1" x14ac:dyDescent="0.25"/>
    <row r="2628" ht="24.95" customHeight="1" x14ac:dyDescent="0.25"/>
    <row r="2629" ht="24.95" customHeight="1" x14ac:dyDescent="0.25"/>
    <row r="2630" ht="24.95" customHeight="1" x14ac:dyDescent="0.25"/>
    <row r="2631" ht="24.95" customHeight="1" x14ac:dyDescent="0.25"/>
    <row r="2632" ht="24.95" customHeight="1" x14ac:dyDescent="0.25"/>
    <row r="2633" ht="24.95" customHeight="1" x14ac:dyDescent="0.25"/>
    <row r="2634" ht="24.95" customHeight="1" x14ac:dyDescent="0.25"/>
    <row r="2635" ht="24.95" customHeight="1" x14ac:dyDescent="0.25"/>
    <row r="2636" ht="24.95" customHeight="1" x14ac:dyDescent="0.25"/>
    <row r="2637" ht="24.95" customHeight="1" x14ac:dyDescent="0.25"/>
    <row r="2638" ht="24.95" customHeight="1" x14ac:dyDescent="0.25"/>
    <row r="2639" ht="24.95" customHeight="1" x14ac:dyDescent="0.25"/>
    <row r="2640" ht="24.95" customHeight="1" x14ac:dyDescent="0.25"/>
    <row r="2641" ht="24.95" customHeight="1" x14ac:dyDescent="0.25"/>
    <row r="2642" ht="24.95" customHeight="1" x14ac:dyDescent="0.25"/>
    <row r="2643" ht="24.95" customHeight="1" x14ac:dyDescent="0.25"/>
    <row r="2644" ht="24.95" customHeight="1" x14ac:dyDescent="0.25"/>
    <row r="2645" ht="24.95" customHeight="1" x14ac:dyDescent="0.25"/>
    <row r="2646" ht="24.95" customHeight="1" x14ac:dyDescent="0.25"/>
    <row r="2647" ht="24.95" customHeight="1" x14ac:dyDescent="0.25"/>
    <row r="2648" ht="24.95" customHeight="1" x14ac:dyDescent="0.25"/>
    <row r="2649" ht="24.95" customHeight="1" x14ac:dyDescent="0.25"/>
    <row r="2650" ht="24.95" customHeight="1" x14ac:dyDescent="0.25"/>
    <row r="2651" ht="24.95" customHeight="1" x14ac:dyDescent="0.25"/>
    <row r="2652" ht="24.95" customHeight="1" x14ac:dyDescent="0.25"/>
    <row r="2653" ht="24.95" customHeight="1" x14ac:dyDescent="0.25"/>
    <row r="2654" ht="24.95" customHeight="1" x14ac:dyDescent="0.25"/>
    <row r="2655" ht="24.95" customHeight="1" x14ac:dyDescent="0.25"/>
    <row r="2656" ht="24.95" customHeight="1" x14ac:dyDescent="0.25"/>
    <row r="2657" ht="24.95" customHeight="1" x14ac:dyDescent="0.25"/>
    <row r="2658" ht="24.95" customHeight="1" x14ac:dyDescent="0.25"/>
    <row r="2659" ht="24.95" customHeight="1" x14ac:dyDescent="0.25"/>
    <row r="2660" ht="24.95" customHeight="1" x14ac:dyDescent="0.25"/>
    <row r="2661" ht="24.95" customHeight="1" x14ac:dyDescent="0.25"/>
    <row r="2662" ht="24.95" customHeight="1" x14ac:dyDescent="0.25"/>
    <row r="2663" ht="24.95" customHeight="1" x14ac:dyDescent="0.25"/>
    <row r="2664" ht="24.95" customHeight="1" x14ac:dyDescent="0.25"/>
    <row r="2665" ht="24.95" customHeight="1" x14ac:dyDescent="0.25"/>
    <row r="2666" ht="24.95" customHeight="1" x14ac:dyDescent="0.25"/>
    <row r="2667" ht="24.95" customHeight="1" x14ac:dyDescent="0.25"/>
    <row r="2668" ht="24.95" customHeight="1" x14ac:dyDescent="0.25"/>
    <row r="2669" ht="24.95" customHeight="1" x14ac:dyDescent="0.25"/>
    <row r="2670" ht="24.95" customHeight="1" x14ac:dyDescent="0.25"/>
    <row r="2671" ht="24.95" customHeight="1" x14ac:dyDescent="0.25"/>
    <row r="2672" ht="24.95" customHeight="1" x14ac:dyDescent="0.25"/>
    <row r="2673" ht="24.95" customHeight="1" x14ac:dyDescent="0.25"/>
    <row r="2674" ht="24.95" customHeight="1" x14ac:dyDescent="0.25"/>
    <row r="2675" ht="24.95" customHeight="1" x14ac:dyDescent="0.25"/>
    <row r="2676" ht="24.95" customHeight="1" x14ac:dyDescent="0.25"/>
    <row r="2677" ht="24.95" customHeight="1" x14ac:dyDescent="0.25"/>
    <row r="2678" ht="24.95" customHeight="1" x14ac:dyDescent="0.25"/>
    <row r="2679" ht="24.95" customHeight="1" x14ac:dyDescent="0.25"/>
    <row r="2680" ht="24.95" customHeight="1" x14ac:dyDescent="0.25"/>
    <row r="2681" ht="24.95" customHeight="1" x14ac:dyDescent="0.25"/>
    <row r="2682" ht="24.95" customHeight="1" x14ac:dyDescent="0.25"/>
    <row r="2683" ht="24.95" customHeight="1" x14ac:dyDescent="0.25"/>
    <row r="2684" ht="24.95" customHeight="1" x14ac:dyDescent="0.25"/>
    <row r="2685" ht="24.95" customHeight="1" x14ac:dyDescent="0.25"/>
    <row r="2686" ht="24.95" customHeight="1" x14ac:dyDescent="0.25"/>
    <row r="2687" ht="24.95" customHeight="1" x14ac:dyDescent="0.25"/>
    <row r="2688" ht="24.95" customHeight="1" x14ac:dyDescent="0.25"/>
    <row r="2689" ht="24.95" customHeight="1" x14ac:dyDescent="0.25"/>
    <row r="2690" ht="24.95" customHeight="1" x14ac:dyDescent="0.25"/>
    <row r="2691" ht="24.95" customHeight="1" x14ac:dyDescent="0.25"/>
    <row r="2692" ht="24.95" customHeight="1" x14ac:dyDescent="0.25"/>
    <row r="2693" ht="24.95" customHeight="1" x14ac:dyDescent="0.25"/>
    <row r="2694" ht="24.95" customHeight="1" x14ac:dyDescent="0.25"/>
    <row r="2695" ht="24.95" customHeight="1" x14ac:dyDescent="0.25"/>
    <row r="2696" ht="24.95" customHeight="1" x14ac:dyDescent="0.25"/>
    <row r="2697" ht="24.95" customHeight="1" x14ac:dyDescent="0.25"/>
    <row r="2698" ht="24.95" customHeight="1" x14ac:dyDescent="0.25"/>
    <row r="2699" ht="24.95" customHeight="1" x14ac:dyDescent="0.25"/>
    <row r="2700" ht="24.95" customHeight="1" x14ac:dyDescent="0.25"/>
    <row r="2701" ht="24.95" customHeight="1" x14ac:dyDescent="0.25"/>
    <row r="2702" ht="24.95" customHeight="1" x14ac:dyDescent="0.25"/>
    <row r="2703" ht="24.95" customHeight="1" x14ac:dyDescent="0.25"/>
    <row r="2704" ht="24.95" customHeight="1" x14ac:dyDescent="0.25"/>
    <row r="2705" ht="24.95" customHeight="1" x14ac:dyDescent="0.25"/>
    <row r="2706" ht="24.95" customHeight="1" x14ac:dyDescent="0.25"/>
    <row r="2707" ht="24.95" customHeight="1" x14ac:dyDescent="0.25"/>
    <row r="2708" ht="24.95" customHeight="1" x14ac:dyDescent="0.25"/>
    <row r="2709" ht="24.95" customHeight="1" x14ac:dyDescent="0.25"/>
    <row r="2710" ht="24.95" customHeight="1" x14ac:dyDescent="0.25"/>
    <row r="2711" ht="24.95" customHeight="1" x14ac:dyDescent="0.25"/>
    <row r="2712" ht="24.95" customHeight="1" x14ac:dyDescent="0.25"/>
    <row r="2713" ht="24.95" customHeight="1" x14ac:dyDescent="0.25"/>
    <row r="2714" ht="24.95" customHeight="1" x14ac:dyDescent="0.25"/>
    <row r="2715" ht="24.95" customHeight="1" x14ac:dyDescent="0.25"/>
    <row r="2716" ht="24.95" customHeight="1" x14ac:dyDescent="0.25"/>
    <row r="2717" ht="24.95" customHeight="1" x14ac:dyDescent="0.25"/>
    <row r="2718" ht="24.95" customHeight="1" x14ac:dyDescent="0.25"/>
    <row r="2719" ht="24.95" customHeight="1" x14ac:dyDescent="0.25"/>
    <row r="2720" ht="24.95" customHeight="1" x14ac:dyDescent="0.25"/>
    <row r="2721" ht="24.95" customHeight="1" x14ac:dyDescent="0.25"/>
    <row r="2722" ht="24.95" customHeight="1" x14ac:dyDescent="0.25"/>
    <row r="2723" ht="24.95" customHeight="1" x14ac:dyDescent="0.25"/>
    <row r="2724" ht="24.95" customHeight="1" x14ac:dyDescent="0.25"/>
    <row r="2725" ht="24.95" customHeight="1" x14ac:dyDescent="0.25"/>
    <row r="2726" ht="24.95" customHeight="1" x14ac:dyDescent="0.25"/>
    <row r="2727" ht="24.95" customHeight="1" x14ac:dyDescent="0.25"/>
    <row r="2728" ht="24.95" customHeight="1" x14ac:dyDescent="0.25"/>
    <row r="2729" ht="24.95" customHeight="1" x14ac:dyDescent="0.25"/>
    <row r="2730" ht="24.95" customHeight="1" x14ac:dyDescent="0.25"/>
    <row r="2731" ht="24.95" customHeight="1" x14ac:dyDescent="0.25"/>
    <row r="2732" ht="24.95" customHeight="1" x14ac:dyDescent="0.25"/>
    <row r="2733" ht="24.95" customHeight="1" x14ac:dyDescent="0.25"/>
    <row r="2734" ht="24.95" customHeight="1" x14ac:dyDescent="0.25"/>
    <row r="2735" ht="24.95" customHeight="1" x14ac:dyDescent="0.25"/>
    <row r="2736" ht="24.95" customHeight="1" x14ac:dyDescent="0.25"/>
    <row r="2737" ht="24.95" customHeight="1" x14ac:dyDescent="0.25"/>
    <row r="2738" ht="24.95" customHeight="1" x14ac:dyDescent="0.25"/>
    <row r="2739" ht="24.95" customHeight="1" x14ac:dyDescent="0.25"/>
    <row r="2740" ht="24.95" customHeight="1" x14ac:dyDescent="0.25"/>
    <row r="2741" ht="24.95" customHeight="1" x14ac:dyDescent="0.25"/>
    <row r="2742" ht="24.95" customHeight="1" x14ac:dyDescent="0.25"/>
    <row r="2743" ht="24.95" customHeight="1" x14ac:dyDescent="0.25"/>
    <row r="2744" ht="24.95" customHeight="1" x14ac:dyDescent="0.25"/>
    <row r="2745" ht="24.95" customHeight="1" x14ac:dyDescent="0.25"/>
    <row r="2746" ht="24.95" customHeight="1" x14ac:dyDescent="0.25"/>
    <row r="2747" ht="24.95" customHeight="1" x14ac:dyDescent="0.25"/>
    <row r="2748" ht="24.95" customHeight="1" x14ac:dyDescent="0.25"/>
    <row r="2749" ht="24.95" customHeight="1" x14ac:dyDescent="0.25"/>
    <row r="2750" ht="24.95" customHeight="1" x14ac:dyDescent="0.25"/>
    <row r="2751" ht="24.95" customHeight="1" x14ac:dyDescent="0.25"/>
    <row r="2752" ht="24.95" customHeight="1" x14ac:dyDescent="0.25"/>
    <row r="2753" ht="24.95" customHeight="1" x14ac:dyDescent="0.25"/>
    <row r="2754" ht="24.95" customHeight="1" x14ac:dyDescent="0.25"/>
    <row r="2755" ht="24.95" customHeight="1" x14ac:dyDescent="0.25"/>
    <row r="2756" ht="24.95" customHeight="1" x14ac:dyDescent="0.25"/>
    <row r="2757" ht="24.95" customHeight="1" x14ac:dyDescent="0.25"/>
    <row r="2758" ht="24.95" customHeight="1" x14ac:dyDescent="0.25"/>
    <row r="2759" ht="24.95" customHeight="1" x14ac:dyDescent="0.25"/>
    <row r="2760" ht="24.95" customHeight="1" x14ac:dyDescent="0.25"/>
    <row r="2761" ht="24.95" customHeight="1" x14ac:dyDescent="0.25"/>
    <row r="2762" ht="24.95" customHeight="1" x14ac:dyDescent="0.25"/>
    <row r="2763" ht="24.95" customHeight="1" x14ac:dyDescent="0.25"/>
    <row r="2764" ht="24.95" customHeight="1" x14ac:dyDescent="0.25"/>
    <row r="2765" ht="24.95" customHeight="1" x14ac:dyDescent="0.25"/>
    <row r="2766" ht="24.95" customHeight="1" x14ac:dyDescent="0.25"/>
    <row r="2767" ht="24.95" customHeight="1" x14ac:dyDescent="0.25"/>
    <row r="2800" ht="24.95" customHeight="1" x14ac:dyDescent="0.25"/>
  </sheetData>
  <mergeCells count="44">
    <mergeCell ref="M28:M29"/>
    <mergeCell ref="M30:M31"/>
    <mergeCell ref="M32:M34"/>
    <mergeCell ref="K2:M2"/>
    <mergeCell ref="K3:M3"/>
    <mergeCell ref="K4:M4"/>
    <mergeCell ref="M19:M20"/>
    <mergeCell ref="M21:M22"/>
    <mergeCell ref="M23:M24"/>
    <mergeCell ref="M25:M26"/>
    <mergeCell ref="M10:M11"/>
    <mergeCell ref="M12:M13"/>
    <mergeCell ref="M14:M15"/>
    <mergeCell ref="M16:M17"/>
    <mergeCell ref="B2:C4"/>
    <mergeCell ref="D2:J4"/>
    <mergeCell ref="B6:M6"/>
    <mergeCell ref="B7:M7"/>
    <mergeCell ref="E37:F37"/>
    <mergeCell ref="B35:G35"/>
    <mergeCell ref="B19:B26"/>
    <mergeCell ref="B28:B34"/>
    <mergeCell ref="B10:B17"/>
    <mergeCell ref="C10:C11"/>
    <mergeCell ref="D10:D11"/>
    <mergeCell ref="C12:C15"/>
    <mergeCell ref="D12:D13"/>
    <mergeCell ref="D14:D15"/>
    <mergeCell ref="C16:C17"/>
    <mergeCell ref="D16:D17"/>
    <mergeCell ref="C19:C22"/>
    <mergeCell ref="D19:D22"/>
    <mergeCell ref="F19:F22"/>
    <mergeCell ref="C23:C24"/>
    <mergeCell ref="D23:D24"/>
    <mergeCell ref="C25:C26"/>
    <mergeCell ref="D25:D26"/>
    <mergeCell ref="F32:F34"/>
    <mergeCell ref="C28:C29"/>
    <mergeCell ref="D28:D29"/>
    <mergeCell ref="C30:C31"/>
    <mergeCell ref="D30:D31"/>
    <mergeCell ref="C32:C34"/>
    <mergeCell ref="D32:D3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C87E27C1DF894695F0AA07B6A6AFAD" ma:contentTypeVersion="14" ma:contentTypeDescription="Crear nuevo documento." ma:contentTypeScope="" ma:versionID="5b6e1fd8858218e4f76374906cdd7d29">
  <xsd:schema xmlns:xsd="http://www.w3.org/2001/XMLSchema" xmlns:xs="http://www.w3.org/2001/XMLSchema" xmlns:p="http://schemas.microsoft.com/office/2006/metadata/properties" xmlns:ns2="78cf7a6e-ec3b-4ffb-91c9-48586e94e7cd" xmlns:ns3="1fb065fb-1f74-4487-85fd-ac4db0e18d29" targetNamespace="http://schemas.microsoft.com/office/2006/metadata/properties" ma:root="true" ma:fieldsID="1e74d8ee5c59df9871d9cd2c42ab47ab" ns2:_="" ns3:_="">
    <xsd:import namespace="78cf7a6e-ec3b-4ffb-91c9-48586e94e7cd"/>
    <xsd:import namespace="1fb065fb-1f74-4487-85fd-ac4db0e18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f7a6e-ec3b-4ffb-91c9-48586e94e7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b065fb-1f74-4487-85fd-ac4db0e18d2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c77a5b3-e7b2-4ffa-bb0c-31be6cbef3c8}" ma:internalName="TaxCatchAll" ma:showField="CatchAllData" ma:web="1fb065fb-1f74-4487-85fd-ac4db0e18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b065fb-1f74-4487-85fd-ac4db0e18d29" xsi:nil="true"/>
    <lcf76f155ced4ddcb4097134ff3c332f xmlns="78cf7a6e-ec3b-4ffb-91c9-48586e94e7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FF8728-9A83-43ED-A718-DE43CA07F6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19DEE4-691E-4548-8EF3-2BAEE35992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cf7a6e-ec3b-4ffb-91c9-48586e94e7cd"/>
    <ds:schemaRef ds:uri="1fb065fb-1f74-4487-85fd-ac4db0e18d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D6894C-E0C8-4EF2-AEA1-0DC599D04749}">
  <ds:schemaRefs>
    <ds:schemaRef ds:uri="1fb065fb-1f74-4487-85fd-ac4db0e18d29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78cf7a6e-ec3b-4ffb-91c9-48586e94e7cd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de Cambios</vt:lpstr>
      <vt:lpstr>Plan Curricular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Ospina Meneses</dc:creator>
  <cp:keywords/>
  <dc:description/>
  <cp:lastModifiedBy>Edwin Jimenez Rave</cp:lastModifiedBy>
  <cp:revision/>
  <dcterms:created xsi:type="dcterms:W3CDTF">2014-04-11T13:12:23Z</dcterms:created>
  <dcterms:modified xsi:type="dcterms:W3CDTF">2026-05-07T05:42:09Z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0x0101007AC87E27C1DF894695F0AA07B6A6AFAD</vt:lpwstr>
  </property>
  <property fmtid="{D5CDD505-2E9C-101B-9397-08002B2CF9AE}" pid="3" name="MediaServiceImageTags">
    <vt:lpwstr/>
  </property>
</Properties>
</file>